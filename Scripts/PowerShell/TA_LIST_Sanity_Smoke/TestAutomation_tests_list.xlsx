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nfoprojektgdansk.sharepoint.com/sites/InfomedicsTIM/Shared Documents/TIM Documents/05_Integration/Test Automation/Test Automation - Playwright/"/>
    </mc:Choice>
  </mc:AlternateContent>
  <xr:revisionPtr revIDLastSave="293" documentId="13_ncr:1_{9B63D9B1-B1F0-4231-876A-DB93E3A7AE22}" xr6:coauthVersionLast="47" xr6:coauthVersionMax="47" xr10:uidLastSave="{FA0B4424-5906-4321-BB21-0F5C2EAFE487}"/>
  <bookViews>
    <workbookView xWindow="-120" yWindow="-120" windowWidth="51840" windowHeight="21120" xr2:uid="{6EFECAB5-F54E-495C-8300-36621871680A}"/>
  </bookViews>
  <sheets>
    <sheet name="TA_List" sheetId="1" r:id="rId1"/>
    <sheet name="Priorities" sheetId="5" r:id="rId2"/>
    <sheet name="Domains" sheetId="4" r:id="rId3"/>
    <sheet name="Team_Members" sheetId="3" r:id="rId4"/>
    <sheet name="Status_Options" sheetId="2" r:id="rId5"/>
    <sheet name="TA_List_Domains(DRAFT)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5" i="1" l="1"/>
  <c r="L65" i="1"/>
  <c r="K64" i="1"/>
  <c r="L64" i="1"/>
  <c r="K63" i="1"/>
  <c r="L63" i="1"/>
  <c r="K89" i="1"/>
  <c r="K90" i="1"/>
  <c r="L89" i="1"/>
  <c r="L90" i="1"/>
  <c r="K8" i="1"/>
  <c r="L8" i="1"/>
  <c r="K5" i="1"/>
  <c r="L5" i="1"/>
  <c r="K4" i="1"/>
  <c r="L4" i="1"/>
  <c r="K4" i="6"/>
  <c r="L4" i="6"/>
  <c r="K6" i="6"/>
  <c r="L6" i="6"/>
  <c r="L84" i="6" l="1"/>
  <c r="K84" i="6"/>
  <c r="L83" i="6"/>
  <c r="K83" i="6"/>
  <c r="L82" i="6"/>
  <c r="K82" i="6"/>
  <c r="L81" i="6"/>
  <c r="K81" i="6"/>
  <c r="L80" i="6"/>
  <c r="K80" i="6"/>
  <c r="L79" i="6"/>
  <c r="K79" i="6"/>
  <c r="L78" i="6"/>
  <c r="K78" i="6"/>
  <c r="L77" i="6"/>
  <c r="K77" i="6"/>
  <c r="L76" i="6"/>
  <c r="K76" i="6"/>
  <c r="L75" i="6"/>
  <c r="K75" i="6"/>
  <c r="L74" i="6"/>
  <c r="K74" i="6"/>
  <c r="L73" i="6"/>
  <c r="K73" i="6"/>
  <c r="L72" i="6"/>
  <c r="K72" i="6"/>
  <c r="L71" i="6"/>
  <c r="K71" i="6"/>
  <c r="L70" i="6"/>
  <c r="K70" i="6"/>
  <c r="L69" i="6"/>
  <c r="K69" i="6"/>
  <c r="L68" i="6"/>
  <c r="K68" i="6"/>
  <c r="L67" i="6"/>
  <c r="K67" i="6"/>
  <c r="L66" i="6"/>
  <c r="K66" i="6"/>
  <c r="L65" i="6"/>
  <c r="K65" i="6"/>
  <c r="L64" i="6"/>
  <c r="K64" i="6"/>
  <c r="L63" i="6"/>
  <c r="K63" i="6"/>
  <c r="L62" i="6"/>
  <c r="K62" i="6"/>
  <c r="L61" i="6"/>
  <c r="K61" i="6"/>
  <c r="L60" i="6"/>
  <c r="K60" i="6"/>
  <c r="L59" i="6"/>
  <c r="K59" i="6"/>
  <c r="L58" i="6"/>
  <c r="K58" i="6"/>
  <c r="L57" i="6"/>
  <c r="K57" i="6"/>
  <c r="L56" i="6"/>
  <c r="K56" i="6"/>
  <c r="L55" i="6"/>
  <c r="K55" i="6"/>
  <c r="L54" i="6"/>
  <c r="K54" i="6"/>
  <c r="L53" i="6"/>
  <c r="K53" i="6"/>
  <c r="L52" i="6"/>
  <c r="K52" i="6"/>
  <c r="L51" i="6"/>
  <c r="K51" i="6"/>
  <c r="L50" i="6"/>
  <c r="K50" i="6"/>
  <c r="L49" i="6"/>
  <c r="K49" i="6"/>
  <c r="L48" i="6"/>
  <c r="K48" i="6"/>
  <c r="L47" i="6"/>
  <c r="K47" i="6"/>
  <c r="L46" i="6"/>
  <c r="K46" i="6"/>
  <c r="L45" i="6"/>
  <c r="K45" i="6"/>
  <c r="L44" i="6"/>
  <c r="K44" i="6"/>
  <c r="L43" i="6"/>
  <c r="K43" i="6"/>
  <c r="L42" i="6"/>
  <c r="K42" i="6"/>
  <c r="L41" i="6"/>
  <c r="K41" i="6"/>
  <c r="L40" i="6"/>
  <c r="K40" i="6"/>
  <c r="L39" i="6"/>
  <c r="K39" i="6"/>
  <c r="L38" i="6"/>
  <c r="K38" i="6"/>
  <c r="L37" i="6"/>
  <c r="K37" i="6"/>
  <c r="L36" i="6"/>
  <c r="K36" i="6"/>
  <c r="L35" i="6"/>
  <c r="K35" i="6"/>
  <c r="L34" i="6"/>
  <c r="K34" i="6"/>
  <c r="L33" i="6"/>
  <c r="K33" i="6"/>
  <c r="L32" i="6"/>
  <c r="K32" i="6"/>
  <c r="L31" i="6"/>
  <c r="K31" i="6"/>
  <c r="L30" i="6"/>
  <c r="K30" i="6"/>
  <c r="L29" i="6"/>
  <c r="K29" i="6"/>
  <c r="L28" i="6"/>
  <c r="K28" i="6"/>
  <c r="L27" i="6"/>
  <c r="K27" i="6"/>
  <c r="L26" i="6"/>
  <c r="K26" i="6"/>
  <c r="L25" i="6"/>
  <c r="K25" i="6"/>
  <c r="L24" i="6"/>
  <c r="K24" i="6"/>
  <c r="L23" i="6"/>
  <c r="K23" i="6"/>
  <c r="L22" i="6"/>
  <c r="K22" i="6"/>
  <c r="L21" i="6"/>
  <c r="K21" i="6"/>
  <c r="L20" i="6"/>
  <c r="K20" i="6"/>
  <c r="L19" i="6"/>
  <c r="K19" i="6"/>
  <c r="L18" i="6"/>
  <c r="K18" i="6"/>
  <c r="L17" i="6"/>
  <c r="K17" i="6"/>
  <c r="L16" i="6"/>
  <c r="K16" i="6"/>
  <c r="L15" i="6"/>
  <c r="K15" i="6"/>
  <c r="L14" i="6"/>
  <c r="K14" i="6"/>
  <c r="L13" i="6"/>
  <c r="K13" i="6"/>
  <c r="L12" i="6"/>
  <c r="K12" i="6"/>
  <c r="L11" i="6"/>
  <c r="K11" i="6"/>
  <c r="L10" i="6"/>
  <c r="K10" i="6"/>
  <c r="L9" i="6"/>
  <c r="K9" i="6"/>
  <c r="L8" i="6"/>
  <c r="K8" i="6"/>
  <c r="L7" i="6"/>
  <c r="K7" i="6"/>
  <c r="L5" i="6"/>
  <c r="K5" i="6"/>
  <c r="L3" i="6"/>
  <c r="K3" i="6"/>
  <c r="L2" i="6"/>
  <c r="K2" i="6"/>
  <c r="K87" i="1"/>
  <c r="K88" i="1"/>
  <c r="L87" i="1"/>
  <c r="L88" i="1"/>
  <c r="L73" i="1"/>
  <c r="K73" i="1"/>
  <c r="K74" i="1"/>
  <c r="L74" i="1"/>
  <c r="K77" i="1"/>
  <c r="K78" i="1"/>
  <c r="K79" i="1"/>
  <c r="K80" i="1"/>
  <c r="K81" i="1"/>
  <c r="K82" i="1"/>
  <c r="K83" i="1"/>
  <c r="K84" i="1"/>
  <c r="K85" i="1"/>
  <c r="K86" i="1"/>
  <c r="L77" i="1"/>
  <c r="L78" i="1"/>
  <c r="L79" i="1"/>
  <c r="L80" i="1"/>
  <c r="L81" i="1"/>
  <c r="L82" i="1"/>
  <c r="L83" i="1"/>
  <c r="L84" i="1"/>
  <c r="L85" i="1"/>
  <c r="L86" i="1"/>
  <c r="K67" i="1"/>
  <c r="K68" i="1"/>
  <c r="K69" i="1"/>
  <c r="K70" i="1"/>
  <c r="K71" i="1"/>
  <c r="K72" i="1"/>
  <c r="K75" i="1"/>
  <c r="K76" i="1"/>
  <c r="L67" i="1"/>
  <c r="L68" i="1"/>
  <c r="L69" i="1"/>
  <c r="L70" i="1"/>
  <c r="L71" i="1"/>
  <c r="L72" i="1"/>
  <c r="L75" i="1"/>
  <c r="L76" i="1"/>
  <c r="K66" i="1"/>
  <c r="L66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7" i="1"/>
  <c r="K7" i="1"/>
  <c r="L6" i="1"/>
  <c r="K6" i="1"/>
  <c r="L3" i="1"/>
  <c r="K3" i="1"/>
  <c r="L2" i="1"/>
  <c r="K2" i="1"/>
</calcChain>
</file>

<file path=xl/sharedStrings.xml><?xml version="1.0" encoding="utf-8"?>
<sst xmlns="http://schemas.openxmlformats.org/spreadsheetml/2006/main" count="758" uniqueCount="232">
  <si>
    <t>ID</t>
  </si>
  <si>
    <t>Test Name</t>
  </si>
  <si>
    <t>Domain</t>
  </si>
  <si>
    <t>Person</t>
  </si>
  <si>
    <t>Status</t>
  </si>
  <si>
    <t>Priority</t>
  </si>
  <si>
    <t>TestNameInRepo</t>
  </si>
  <si>
    <t>Steps</t>
  </si>
  <si>
    <t>DevTaskID</t>
  </si>
  <si>
    <t>IntTaskID</t>
  </si>
  <si>
    <t>DEV Task Link</t>
  </si>
  <si>
    <t>INT Task Link</t>
  </si>
  <si>
    <t>Notes</t>
  </si>
  <si>
    <t>S01</t>
  </si>
  <si>
    <t>Stop on Claim in Inzicht</t>
  </si>
  <si>
    <t>TomaszS</t>
  </si>
  <si>
    <t>DONE</t>
  </si>
  <si>
    <t>Medium</t>
  </si>
  <si>
    <t>S02</t>
  </si>
  <si>
    <t>Stop on Claim in TIM</t>
  </si>
  <si>
    <t>CezaryF</t>
  </si>
  <si>
    <t>IN PROGRESS</t>
  </si>
  <si>
    <t>S03</t>
  </si>
  <si>
    <t>Full Stop on unpaid Claim in TIM</t>
  </si>
  <si>
    <t>S04</t>
  </si>
  <si>
    <t>Full Stop on paid  Claim in TIM</t>
  </si>
  <si>
    <t>TODO</t>
  </si>
  <si>
    <t>S05</t>
  </si>
  <si>
    <t>Redelivery on a Claim</t>
  </si>
  <si>
    <t>S06</t>
  </si>
  <si>
    <t>Closing stop on a Claim in TIMUI</t>
  </si>
  <si>
    <t>S07</t>
  </si>
  <si>
    <t>Closing stop on a Claim in Inzicht</t>
  </si>
  <si>
    <t>ALMOST</t>
  </si>
  <si>
    <t>S08</t>
  </si>
  <si>
    <t>Resurrect a Claim</t>
  </si>
  <si>
    <t>S09</t>
  </si>
  <si>
    <t>Send claim to Clearing</t>
  </si>
  <si>
    <t>S10</t>
  </si>
  <si>
    <t>Match Payment with a Claim</t>
  </si>
  <si>
    <t>KamilM</t>
  </si>
  <si>
    <t>https://dev.azure.com/infomedics/TIM/_git/TimTestAutomation/pullrequest/9501</t>
  </si>
  <si>
    <t>S11</t>
  </si>
  <si>
    <t>Automatch Payment with a Claim</t>
  </si>
  <si>
    <t>S12</t>
  </si>
  <si>
    <t>Create Payment Agreement</t>
  </si>
  <si>
    <t>S13</t>
  </si>
  <si>
    <t>Download PDF on Payment Page</t>
  </si>
  <si>
    <t>S14</t>
  </si>
  <si>
    <t>Pay a claim on Payment Page</t>
  </si>
  <si>
    <t>S15</t>
  </si>
  <si>
    <t>Unmatch Payment from claim</t>
  </si>
  <si>
    <t>S16</t>
  </si>
  <si>
    <t>Make a Payback</t>
  </si>
  <si>
    <t>S17</t>
  </si>
  <si>
    <t>Small open amount tests</t>
  </si>
  <si>
    <t>S18</t>
  </si>
  <si>
    <t>Create IA 100%</t>
  </si>
  <si>
    <t>S19</t>
  </si>
  <si>
    <t>Create IA 0%</t>
  </si>
  <si>
    <t>S20</t>
  </si>
  <si>
    <t>Create IA with IRCR</t>
  </si>
  <si>
    <t>S21</t>
  </si>
  <si>
    <t>IA with IRCR - Result print</t>
  </si>
  <si>
    <t>S22</t>
  </si>
  <si>
    <t>IA with IRCR - Result Stop</t>
  </si>
  <si>
    <t>S23</t>
  </si>
  <si>
    <t>IA with IRCR - Result SSP Action</t>
  </si>
  <si>
    <t>S24</t>
  </si>
  <si>
    <t>Push through action</t>
  </si>
  <si>
    <t>S25</t>
  </si>
  <si>
    <t>Add/Change IRCR Code</t>
  </si>
  <si>
    <t>S26</t>
  </si>
  <si>
    <t>Add Message to BA from TIM</t>
  </si>
  <si>
    <t>S27</t>
  </si>
  <si>
    <t>Add Message to Agent from Inzicht</t>
  </si>
  <si>
    <t>S28</t>
  </si>
  <si>
    <t>Settle any settlement</t>
  </si>
  <si>
    <t>S29</t>
  </si>
  <si>
    <t>Settle any settlement CHA</t>
  </si>
  <si>
    <t>S30</t>
  </si>
  <si>
    <t>Create Copy of printed document</t>
  </si>
  <si>
    <t>S31</t>
  </si>
  <si>
    <t>Create BA and process claimfile</t>
  </si>
  <si>
    <t>S32</t>
  </si>
  <si>
    <t>Change settle date - Ledger View</t>
  </si>
  <si>
    <t>S33</t>
  </si>
  <si>
    <t>Add Correction to Settlement</t>
  </si>
  <si>
    <t>S34</t>
  </si>
  <si>
    <t>Login (TIM/Inzicht/IAM)</t>
  </si>
  <si>
    <t>S35</t>
  </si>
  <si>
    <t>Change Password</t>
  </si>
  <si>
    <t>S36</t>
  </si>
  <si>
    <t>Create Ticket in HelpDesk</t>
  </si>
  <si>
    <t>S37</t>
  </si>
  <si>
    <t>Resolve Ticket in HelpDesk</t>
  </si>
  <si>
    <t>S38</t>
  </si>
  <si>
    <t>Create Approval</t>
  </si>
  <si>
    <t>S39</t>
  </si>
  <si>
    <t>Resolve Approval</t>
  </si>
  <si>
    <t>S40</t>
  </si>
  <si>
    <t>Check Ledger View in Inzicht</t>
  </si>
  <si>
    <t>S41</t>
  </si>
  <si>
    <t>Upload claim file by Inzicht</t>
  </si>
  <si>
    <t>S42</t>
  </si>
  <si>
    <t>Upload claim file by TIM UI</t>
  </si>
  <si>
    <t>S43</t>
  </si>
  <si>
    <t>Upload claim file by Folder</t>
  </si>
  <si>
    <t>S44</t>
  </si>
  <si>
    <t>Change Follow UP on interpretation</t>
  </si>
  <si>
    <t>S45</t>
  </si>
  <si>
    <t>Check UBO feature</t>
  </si>
  <si>
    <t>S46</t>
  </si>
  <si>
    <t>Complaint</t>
  </si>
  <si>
    <t>S47</t>
  </si>
  <si>
    <t>Create Address Change</t>
  </si>
  <si>
    <t>S48</t>
  </si>
  <si>
    <t>CMIB Deal</t>
  </si>
  <si>
    <t>S49</t>
  </si>
  <si>
    <t>DPAY Process (ClaimFile/status/PM35+)</t>
  </si>
  <si>
    <t>KamilK</t>
  </si>
  <si>
    <t>S50</t>
  </si>
  <si>
    <t>Create/Resolve Complaint Action</t>
  </si>
  <si>
    <t>SM01</t>
  </si>
  <si>
    <t>Settle Settlement for BA</t>
  </si>
  <si>
    <t>SM02</t>
  </si>
  <si>
    <t>Settle ROBP Settlement for BA</t>
  </si>
  <si>
    <t>SM03</t>
  </si>
  <si>
    <t>Generate PDP XML</t>
  </si>
  <si>
    <t>SM04</t>
  </si>
  <si>
    <t>Generate CSV XML</t>
  </si>
  <si>
    <t>SM05</t>
  </si>
  <si>
    <t>PA with DD and matching</t>
  </si>
  <si>
    <t>SM06</t>
  </si>
  <si>
    <t>PA with DD reject matching</t>
  </si>
  <si>
    <t>SM07</t>
  </si>
  <si>
    <t>Send Claim to Bailiff (full flow)</t>
  </si>
  <si>
    <t>SM08</t>
  </si>
  <si>
    <t>Create BA Invoice - DD - matching</t>
  </si>
  <si>
    <t>SM09</t>
  </si>
  <si>
    <t>DPAY WS scenarios</t>
  </si>
  <si>
    <t>SM10</t>
  </si>
  <si>
    <t>Create IA with different IRCR</t>
  </si>
  <si>
    <t>SM11</t>
  </si>
  <si>
    <t>Create Address Change action - Change Address (only TIMUI ??)</t>
  </si>
  <si>
    <t>SM12</t>
  </si>
  <si>
    <t>Create Address Change action - Resume Action without changing Address (only TIMUI ??)</t>
  </si>
  <si>
    <t>SM13</t>
  </si>
  <si>
    <t>Create Address Change action - Change  Action with redelivery for one claim (only TIMUI ??)</t>
  </si>
  <si>
    <t>SM14</t>
  </si>
  <si>
    <t>Create Address Change action - Change  Action with redelivery for all realted claim (only TIMUI ??)</t>
  </si>
  <si>
    <t>S51</t>
  </si>
  <si>
    <t>Export KET users on IAM</t>
  </si>
  <si>
    <t>Low</t>
  </si>
  <si>
    <t>S52</t>
  </si>
  <si>
    <t>Check Bailiff statuses on the Payment Page</t>
  </si>
  <si>
    <t>Mariusz</t>
  </si>
  <si>
    <t>PaymentPageStatusesInBailiff</t>
  </si>
  <si>
    <t>S53</t>
  </si>
  <si>
    <t>Accept First Delivery</t>
  </si>
  <si>
    <t>Sylwia</t>
  </si>
  <si>
    <t>S54</t>
  </si>
  <si>
    <t>Reject First Delivery</t>
  </si>
  <si>
    <t>S55</t>
  </si>
  <si>
    <t>Claim TO Do View</t>
  </si>
  <si>
    <t>MichałA</t>
  </si>
  <si>
    <t>S56</t>
  </si>
  <si>
    <t>Check wrong ClaimFile in Provider to do tab</t>
  </si>
  <si>
    <t>S57</t>
  </si>
  <si>
    <t>Full Stop on Claim File in TIM</t>
  </si>
  <si>
    <t>S58</t>
  </si>
  <si>
    <t>Ledger Connector - Enable Ledger</t>
  </si>
  <si>
    <t>S59</t>
  </si>
  <si>
    <t>Ledger Connector - Set Ledger Accounts On Inzicht</t>
  </si>
  <si>
    <t>S60</t>
  </si>
  <si>
    <t>Ledger Connector - Authorize Exact</t>
  </si>
  <si>
    <t>S61</t>
  </si>
  <si>
    <t>Ledger Connector - Authorize Twinfield</t>
  </si>
  <si>
    <t>S62</t>
  </si>
  <si>
    <t>Ledger Connector - Authorize Problem</t>
  </si>
  <si>
    <t>S63</t>
  </si>
  <si>
    <t>Ledger Connector - Missing General Ledger Account</t>
  </si>
  <si>
    <t>S64</t>
  </si>
  <si>
    <t>Ledger Connector - Prepare Incorrect account number problem (Exact only)</t>
  </si>
  <si>
    <t>S65</t>
  </si>
  <si>
    <t>Ledger Connector - Send Document to Connector</t>
  </si>
  <si>
    <t>S66</t>
  </si>
  <si>
    <t>Full Stop on Claim File in TIM with DoubleValidation - Approve</t>
  </si>
  <si>
    <t>S67</t>
  </si>
  <si>
    <t>Full Stop on Claim File in TIM with DoubleValidation - Reject</t>
  </si>
  <si>
    <t>S68</t>
  </si>
  <si>
    <t>S69</t>
  </si>
  <si>
    <t>S70</t>
  </si>
  <si>
    <t>S71</t>
  </si>
  <si>
    <t>S72</t>
  </si>
  <si>
    <t>S73</t>
  </si>
  <si>
    <t>S74</t>
  </si>
  <si>
    <t>S75</t>
  </si>
  <si>
    <t>SMOKE</t>
  </si>
  <si>
    <t>SANITY</t>
  </si>
  <si>
    <t>High</t>
  </si>
  <si>
    <t>Critical</t>
  </si>
  <si>
    <t>Factoring (w. Risk &amp; CHA)</t>
  </si>
  <si>
    <t>Costs &amp; Tariffs</t>
  </si>
  <si>
    <t>Customer Configuration</t>
  </si>
  <si>
    <t>Reception</t>
  </si>
  <si>
    <t>Vendor API</t>
  </si>
  <si>
    <t>Claim Orchestration</t>
  </si>
  <si>
    <t>Insurers</t>
  </si>
  <si>
    <t>Templating &amp; Messaging</t>
  </si>
  <si>
    <t>Invoicing &amp; Dunning</t>
  </si>
  <si>
    <t>Bailiff</t>
  </si>
  <si>
    <t>Banking</t>
  </si>
  <si>
    <t>Payment Matching</t>
  </si>
  <si>
    <t>Accounting (w. Ledger Connector)</t>
  </si>
  <si>
    <t>Auth &amp; User Management</t>
  </si>
  <si>
    <t>Frontend Infrastructure</t>
  </si>
  <si>
    <t>Auditing</t>
  </si>
  <si>
    <t>Przemysław</t>
  </si>
  <si>
    <t>TomaszN</t>
  </si>
  <si>
    <t>CezaryH</t>
  </si>
  <si>
    <t>KamilR</t>
  </si>
  <si>
    <t>QA Team</t>
  </si>
  <si>
    <t>DEV Team</t>
  </si>
  <si>
    <t>PiotrK</t>
  </si>
  <si>
    <t>TomaszC</t>
  </si>
  <si>
    <t>Dorota</t>
  </si>
  <si>
    <t>Pogo</t>
  </si>
  <si>
    <t>BLOCKED</t>
  </si>
  <si>
    <t>ON HOLD</t>
  </si>
  <si>
    <t>Address Change</t>
  </si>
  <si>
    <t>Create Address Change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</si>
</sst>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9" fontId="0" fillId="0" borderId="0" xfId="0" applyNumberFormat="1"/>
    <xf numFmtId="0" fontId="2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10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indexed="2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indexed="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A8785E-B735-4F54-9E6D-C3384F517507}" name="Table1" displayName="Table1" ref="A1:M90" totalsRowShown="0" headerRowDxfId="9">
  <autoFilter ref="A1:M90" xr:uid="{99A8785E-B735-4F54-9E6D-C3384F517507}"/>
  <tableColumns count="13">
    <tableColumn id="1" xr3:uid="{7E18CF42-4C5A-4562-BFB3-35DEBF149B0D}" name="ID"/>
    <tableColumn id="2" xr3:uid="{75154267-1708-44A9-B889-2C821EF7D45D}" name="Test Name"/>
    <tableColumn id="3" xr3:uid="{F4F8CFAC-D50D-4D71-A7B7-A7E637973323}" name="Domain"/>
    <tableColumn id="4" xr3:uid="{0809BBC1-EF8D-4421-8432-C76ED2F64E10}" name="Person"/>
    <tableColumn id="5" xr3:uid="{409A39EA-DDA0-49BF-A5D0-6940E7DC5157}" name="Status"/>
    <tableColumn id="6" xr3:uid="{9A436CDA-3EE2-46B3-B77B-CF36FFB7C7C0}" name="Priority"/>
    <tableColumn id="15" xr3:uid="{1708386B-1B2B-4FBC-9BDB-D68877C8C0DA}" name="TestNameInRepo"/>
    <tableColumn id="14" xr3:uid="{AE484345-B10F-4C48-BFCC-7C8452A850CA}" name="Steps"/>
    <tableColumn id="9" xr3:uid="{1C8C5088-F256-419F-9894-24EDBC8DEE64}" name="DevTaskID"/>
    <tableColumn id="10" xr3:uid="{BB15BE5C-59EB-4C2C-8075-966D5925D52D}" name="IntTaskID"/>
    <tableColumn id="11" xr3:uid="{EAF5B77F-0AC2-4F22-812A-2CAC69CBACF0}" name="DEV Task Link">
      <calculatedColumnFormula>IF(I2&lt;&gt;"",HYPERLINK("https://dev.azure.com/infomedics/TIM/_workitems/edit/"&amp;I2,"Open DEV "&amp;I2),"")</calculatedColumnFormula>
    </tableColumn>
    <tableColumn id="12" xr3:uid="{FC62698D-0057-4FF0-BFB4-35CCCB0CC887}" name="INT Task Link">
      <calculatedColumnFormula>IF(J2&lt;&gt;"",HYPERLINK("https://dev.azure.com/infomedics/TIM/_workitems/edit/"&amp;J2,"Open INT "&amp;J2),"")</calculatedColumnFormula>
    </tableColumn>
    <tableColumn id="13" xr3:uid="{259A1E1A-EDFB-4D0F-93CA-70A539B9BB3C}" name="Notes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79826B-D7CC-4DC4-9D08-D10CC53A7BBF}" name="Table13" displayName="Table13" ref="A1:M84" totalsRowShown="0" headerRowDxfId="8">
  <autoFilter ref="A1:M84" xr:uid="{99A8785E-B735-4F54-9E6D-C3384F517507}"/>
  <tableColumns count="13">
    <tableColumn id="1" xr3:uid="{1970D74A-D115-4DA8-95A1-7FAFA9307B64}" name="ID"/>
    <tableColumn id="2" xr3:uid="{0AD569FC-8760-4CCF-A48E-307386B07931}" name="Test Name"/>
    <tableColumn id="3" xr3:uid="{5274F39A-7726-45BE-9079-25322B3B85DE}" name="Domain"/>
    <tableColumn id="4" xr3:uid="{E8B0F39E-2DC2-4CBE-B881-94FB87E01B69}" name="Person"/>
    <tableColumn id="5" xr3:uid="{F2703DBC-FD3C-4948-9F7F-8C775E7BE43D}" name="Status"/>
    <tableColumn id="6" xr3:uid="{1DE70FAA-B413-4830-A761-D97730E5B69A}" name="Priority"/>
    <tableColumn id="15" xr3:uid="{2C29DD01-6F1F-436F-A71C-996FEDC9A21A}" name="TestNameInRepo"/>
    <tableColumn id="14" xr3:uid="{843BE520-10A3-4FCB-AA83-015C82B0906A}" name="Steps"/>
    <tableColumn id="9" xr3:uid="{6D2E887E-585A-431A-B4DE-BD7BF64A9A2A}" name="DevTaskID"/>
    <tableColumn id="10" xr3:uid="{B97BA20E-FF32-4773-A642-6C681FAAD2A9}" name="IntTaskID"/>
    <tableColumn id="11" xr3:uid="{9AC0986D-EABC-46C1-9B92-805042E2C62E}" name="DEV Task Link">
      <calculatedColumnFormula>IF(I2&lt;&gt;"",HYPERLINK("https://dev.azure.com/infomedics/TIM/_workitems/edit/"&amp;I2,"Open DEV "&amp;I2),"")</calculatedColumnFormula>
    </tableColumn>
    <tableColumn id="12" xr3:uid="{B61FA669-DF6B-408B-8F0C-E1EEBA515DED}" name="INT Task Link">
      <calculatedColumnFormula>IF(J2&lt;&gt;"",HYPERLINK("https://dev.azure.com/infomedics/TIM/_workitems/edit/"&amp;J2,"Open INT "&amp;J2),"")</calculatedColumnFormula>
    </tableColumn>
    <tableColumn id="13" xr3:uid="{16F0B69E-1EB3-4E9E-AD82-8326F9516F5A}" name="Note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ev.azure.com/infomedics/TIM/_git/TimTestAutomation/pullrequest/9501" TargetMode="External"/><Relationship Id="rId1" Type="http://schemas.openxmlformats.org/officeDocument/2006/relationships/hyperlink" Target="https://dev.azure.com/infomedics/TIM/_git/TimTestAutomation/pullrequest/9501" TargetMode="External"/><Relationship Id="rId4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dev.azure.com/infomedics/TIM/_git/TimTestAutomation/pullrequest/9501" TargetMode="External"/><Relationship Id="rId1" Type="http://schemas.openxmlformats.org/officeDocument/2006/relationships/hyperlink" Target="https://dev.azure.com/infomedics/TIM/_git/TimTestAutomation/pullrequest/9501" TargetMode="Externa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24D2E-8DCA-48D8-9B8C-F28B015A7B3E}">
  <dimension ref="A1:M90"/>
  <sheetViews>
    <sheetView tabSelected="1" topLeftCell="A34" workbookViewId="0">
      <selection activeCell="G3" sqref="G3"/>
    </sheetView>
  </sheetViews>
  <sheetFormatPr defaultRowHeight="15" customHeight="1" x14ac:dyDescent="0.25"/>
  <cols>
    <col min="1" max="1" width="5.140625" bestFit="1" customWidth="1"/>
    <col min="2" max="2" width="79" customWidth="1"/>
    <col min="3" max="3" width="25.28515625" customWidth="1"/>
    <col min="4" max="4" width="13.42578125" customWidth="1"/>
    <col min="5" max="5" width="14.28515625" customWidth="1"/>
    <col min="6" max="6" width="12.42578125" customWidth="1"/>
    <col min="7" max="7" width="68.85546875" bestFit="1" customWidth="1"/>
    <col min="8" max="8" width="23.7109375" customWidth="1"/>
    <col min="9" max="9" width="19.140625" customWidth="1"/>
    <col min="10" max="10" width="21.140625" customWidth="1"/>
    <col min="11" max="11" width="21" customWidth="1"/>
    <col min="12" max="12" width="29" customWidth="1"/>
    <col min="13" max="13" width="24.71093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D2" t="s">
        <v>15</v>
      </c>
      <c r="E2" t="s">
        <v>16</v>
      </c>
      <c r="F2" t="s">
        <v>17</v>
      </c>
      <c r="K2" t="str">
        <f t="shared" ref="K2:K36" si="0">IF(I2&lt;&gt;"",HYPERLINK("https://dev.azure.com/infomedics/TIM/_workitems/edit/"&amp;I2,"Open DEV "&amp;I2),"")</f>
        <v/>
      </c>
      <c r="L2" t="str">
        <f t="shared" ref="L2:L36" si="1">IF(J2&lt;&gt;"",HYPERLINK("https://dev.azure.com/infomedics/TIM/_workitems/edit/"&amp;J2,"Open INT "&amp;J2),"")</f>
        <v/>
      </c>
    </row>
    <row r="3" spans="1:13" x14ac:dyDescent="0.25">
      <c r="A3" t="s">
        <v>18</v>
      </c>
      <c r="B3" t="s">
        <v>19</v>
      </c>
      <c r="D3" t="s">
        <v>20</v>
      </c>
      <c r="E3" t="s">
        <v>21</v>
      </c>
      <c r="F3" t="s">
        <v>17</v>
      </c>
      <c r="K3" t="str">
        <f t="shared" si="0"/>
        <v/>
      </c>
      <c r="L3" t="str">
        <f t="shared" si="1"/>
        <v/>
      </c>
    </row>
    <row r="4" spans="1:13" x14ac:dyDescent="0.25">
      <c r="A4" t="s">
        <v>22</v>
      </c>
      <c r="B4" t="s">
        <v>23</v>
      </c>
      <c r="D4" t="s">
        <v>20</v>
      </c>
      <c r="E4" t="s">
        <v>21</v>
      </c>
      <c r="F4" t="s">
        <v>17</v>
      </c>
      <c r="K4" s="3" t="str">
        <f>IF(I4&lt;&gt;"",HYPERLINK("https://dev.azure.com/infomedics/TIM/_workitems/edit/"&amp;I4,"Open DEV "&amp;I4),"")</f>
        <v/>
      </c>
      <c r="L4" s="3" t="str">
        <f>IF(J4&lt;&gt;"",HYPERLINK("https://dev.azure.com/infomedics/TIM/_workitems/edit/"&amp;J4,"Open INT "&amp;J4),"")</f>
        <v/>
      </c>
    </row>
    <row r="5" spans="1:13" x14ac:dyDescent="0.25">
      <c r="A5" t="s">
        <v>24</v>
      </c>
      <c r="B5" t="s">
        <v>25</v>
      </c>
      <c r="D5" t="s">
        <v>20</v>
      </c>
      <c r="E5" t="s">
        <v>26</v>
      </c>
      <c r="K5" s="3" t="str">
        <f>IF(I5&lt;&gt;"",HYPERLINK("https://dev.azure.com/infomedics/TIM/_workitems/edit/"&amp;I5,"Open DEV "&amp;I5),"")</f>
        <v/>
      </c>
      <c r="L5" s="3" t="str">
        <f>IF(J5&lt;&gt;"",HYPERLINK("https://dev.azure.com/infomedics/TIM/_workitems/edit/"&amp;J5,"Open INT "&amp;J5),"")</f>
        <v/>
      </c>
    </row>
    <row r="6" spans="1:13" x14ac:dyDescent="0.25">
      <c r="A6" t="s">
        <v>27</v>
      </c>
      <c r="B6" t="s">
        <v>28</v>
      </c>
      <c r="E6" t="s">
        <v>26</v>
      </c>
      <c r="F6" t="s">
        <v>17</v>
      </c>
      <c r="K6" t="str">
        <f t="shared" si="0"/>
        <v/>
      </c>
      <c r="L6" t="str">
        <f t="shared" si="1"/>
        <v/>
      </c>
    </row>
    <row r="7" spans="1:13" x14ac:dyDescent="0.25">
      <c r="A7" t="s">
        <v>29</v>
      </c>
      <c r="B7" t="s">
        <v>30</v>
      </c>
      <c r="D7" t="s">
        <v>20</v>
      </c>
      <c r="E7" t="s">
        <v>26</v>
      </c>
      <c r="F7" t="s">
        <v>17</v>
      </c>
      <c r="K7" t="str">
        <f t="shared" si="0"/>
        <v/>
      </c>
      <c r="L7" t="str">
        <f t="shared" si="1"/>
        <v/>
      </c>
    </row>
    <row r="8" spans="1:13" x14ac:dyDescent="0.25">
      <c r="A8" t="s">
        <v>31</v>
      </c>
      <c r="B8" t="s">
        <v>32</v>
      </c>
      <c r="E8" t="s">
        <v>33</v>
      </c>
      <c r="F8" t="s">
        <v>17</v>
      </c>
      <c r="K8" s="3" t="str">
        <f>IF(I8&lt;&gt;"",HYPERLINK("https://dev.azure.com/infomedics/TIM/_workitems/edit/"&amp;I8,"Open DEV "&amp;I8),"")</f>
        <v/>
      </c>
      <c r="L8" s="3" t="str">
        <f>IF(J8&lt;&gt;"",HYPERLINK("https://dev.azure.com/infomedics/TIM/_workitems/edit/"&amp;J8,"Open INT "&amp;J8),"")</f>
        <v/>
      </c>
    </row>
    <row r="9" spans="1:13" x14ac:dyDescent="0.25">
      <c r="A9" t="s">
        <v>34</v>
      </c>
      <c r="B9" t="s">
        <v>35</v>
      </c>
      <c r="E9" t="s">
        <v>26</v>
      </c>
      <c r="F9" t="s">
        <v>17</v>
      </c>
      <c r="K9" t="str">
        <f t="shared" si="0"/>
        <v/>
      </c>
      <c r="L9" t="str">
        <f t="shared" si="1"/>
        <v/>
      </c>
    </row>
    <row r="10" spans="1:13" x14ac:dyDescent="0.25">
      <c r="A10" t="s">
        <v>36</v>
      </c>
      <c r="B10" t="s">
        <v>37</v>
      </c>
      <c r="D10" t="s">
        <v>15</v>
      </c>
      <c r="E10" t="s">
        <v>16</v>
      </c>
      <c r="F10" t="s">
        <v>17</v>
      </c>
      <c r="K10" t="str">
        <f t="shared" si="0"/>
        <v/>
      </c>
      <c r="L10" t="str">
        <f t="shared" si="1"/>
        <v/>
      </c>
    </row>
    <row r="11" spans="1:13" x14ac:dyDescent="0.25">
      <c r="A11" t="s">
        <v>38</v>
      </c>
      <c r="B11" t="s">
        <v>39</v>
      </c>
      <c r="D11" t="s">
        <v>40</v>
      </c>
      <c r="E11" t="s">
        <v>21</v>
      </c>
      <c r="F11" t="s">
        <v>17</v>
      </c>
      <c r="G11" s="3" t="s">
        <v>41</v>
      </c>
      <c r="K11" t="str">
        <f t="shared" si="0"/>
        <v/>
      </c>
      <c r="L11" t="str">
        <f t="shared" si="1"/>
        <v/>
      </c>
    </row>
    <row r="12" spans="1:13" x14ac:dyDescent="0.25">
      <c r="A12" t="s">
        <v>42</v>
      </c>
      <c r="B12" t="s">
        <v>43</v>
      </c>
      <c r="D12" t="s">
        <v>40</v>
      </c>
      <c r="E12" t="s">
        <v>21</v>
      </c>
      <c r="F12" t="s">
        <v>17</v>
      </c>
      <c r="G12" s="3" t="s">
        <v>41</v>
      </c>
      <c r="K12" t="str">
        <f t="shared" si="0"/>
        <v/>
      </c>
      <c r="L12" t="str">
        <f t="shared" si="1"/>
        <v/>
      </c>
    </row>
    <row r="13" spans="1:13" x14ac:dyDescent="0.25">
      <c r="A13" t="s">
        <v>44</v>
      </c>
      <c r="B13" t="s">
        <v>45</v>
      </c>
      <c r="E13" t="s">
        <v>26</v>
      </c>
      <c r="F13" t="s">
        <v>17</v>
      </c>
      <c r="K13" t="str">
        <f t="shared" si="0"/>
        <v/>
      </c>
      <c r="L13" t="str">
        <f t="shared" si="1"/>
        <v/>
      </c>
    </row>
    <row r="14" spans="1:13" x14ac:dyDescent="0.25">
      <c r="A14" t="s">
        <v>46</v>
      </c>
      <c r="B14" t="s">
        <v>47</v>
      </c>
      <c r="E14" t="s">
        <v>26</v>
      </c>
      <c r="F14" t="s">
        <v>17</v>
      </c>
      <c r="K14" t="str">
        <f t="shared" si="0"/>
        <v/>
      </c>
      <c r="L14" t="str">
        <f t="shared" si="1"/>
        <v/>
      </c>
    </row>
    <row r="15" spans="1:13" x14ac:dyDescent="0.25">
      <c r="A15" t="s">
        <v>48</v>
      </c>
      <c r="B15" t="s">
        <v>49</v>
      </c>
      <c r="E15" t="s">
        <v>26</v>
      </c>
      <c r="F15" t="s">
        <v>17</v>
      </c>
      <c r="K15" t="str">
        <f t="shared" si="0"/>
        <v/>
      </c>
      <c r="L15" t="str">
        <f t="shared" si="1"/>
        <v/>
      </c>
    </row>
    <row r="16" spans="1:13" x14ac:dyDescent="0.25">
      <c r="A16" t="s">
        <v>50</v>
      </c>
      <c r="B16" t="s">
        <v>51</v>
      </c>
      <c r="D16" t="s">
        <v>40</v>
      </c>
      <c r="E16" t="s">
        <v>21</v>
      </c>
      <c r="F16" t="s">
        <v>17</v>
      </c>
      <c r="K16" t="str">
        <f t="shared" si="0"/>
        <v/>
      </c>
      <c r="L16" t="str">
        <f t="shared" si="1"/>
        <v/>
      </c>
    </row>
    <row r="17" spans="1:12" x14ac:dyDescent="0.25">
      <c r="A17" t="s">
        <v>52</v>
      </c>
      <c r="B17" t="s">
        <v>53</v>
      </c>
      <c r="E17" t="s">
        <v>26</v>
      </c>
      <c r="F17" t="s">
        <v>17</v>
      </c>
      <c r="K17" t="str">
        <f t="shared" si="0"/>
        <v/>
      </c>
      <c r="L17" t="str">
        <f t="shared" si="1"/>
        <v/>
      </c>
    </row>
    <row r="18" spans="1:12" x14ac:dyDescent="0.25">
      <c r="A18" t="s">
        <v>54</v>
      </c>
      <c r="B18" t="s">
        <v>55</v>
      </c>
      <c r="E18" t="s">
        <v>26</v>
      </c>
      <c r="F18" t="s">
        <v>17</v>
      </c>
      <c r="K18" t="str">
        <f t="shared" si="0"/>
        <v/>
      </c>
      <c r="L18" t="str">
        <f t="shared" si="1"/>
        <v/>
      </c>
    </row>
    <row r="19" spans="1:12" x14ac:dyDescent="0.25">
      <c r="A19" t="s">
        <v>56</v>
      </c>
      <c r="B19" t="s">
        <v>57</v>
      </c>
      <c r="D19" t="s">
        <v>15</v>
      </c>
      <c r="E19" t="s">
        <v>16</v>
      </c>
      <c r="F19" t="s">
        <v>17</v>
      </c>
      <c r="K19" t="str">
        <f t="shared" si="0"/>
        <v/>
      </c>
      <c r="L19" t="str">
        <f t="shared" si="1"/>
        <v/>
      </c>
    </row>
    <row r="20" spans="1:12" x14ac:dyDescent="0.25">
      <c r="A20" t="s">
        <v>58</v>
      </c>
      <c r="B20" t="s">
        <v>59</v>
      </c>
      <c r="D20" t="s">
        <v>15</v>
      </c>
      <c r="E20" t="s">
        <v>16</v>
      </c>
      <c r="F20" t="s">
        <v>17</v>
      </c>
      <c r="K20" t="str">
        <f t="shared" si="0"/>
        <v/>
      </c>
      <c r="L20" t="str">
        <f t="shared" si="1"/>
        <v/>
      </c>
    </row>
    <row r="21" spans="1:12" x14ac:dyDescent="0.25">
      <c r="A21" t="s">
        <v>60</v>
      </c>
      <c r="B21" t="s">
        <v>61</v>
      </c>
      <c r="D21" t="s">
        <v>15</v>
      </c>
      <c r="E21" t="s">
        <v>16</v>
      </c>
      <c r="F21" t="s">
        <v>17</v>
      </c>
      <c r="K21" t="str">
        <f t="shared" si="0"/>
        <v/>
      </c>
      <c r="L21" t="str">
        <f t="shared" si="1"/>
        <v/>
      </c>
    </row>
    <row r="22" spans="1:12" x14ac:dyDescent="0.25">
      <c r="A22" t="s">
        <v>62</v>
      </c>
      <c r="B22" t="s">
        <v>63</v>
      </c>
      <c r="D22" t="s">
        <v>15</v>
      </c>
      <c r="E22" t="s">
        <v>16</v>
      </c>
      <c r="F22" t="s">
        <v>17</v>
      </c>
      <c r="K22" t="str">
        <f t="shared" si="0"/>
        <v/>
      </c>
      <c r="L22" t="str">
        <f t="shared" si="1"/>
        <v/>
      </c>
    </row>
    <row r="23" spans="1:12" x14ac:dyDescent="0.25">
      <c r="A23" t="s">
        <v>64</v>
      </c>
      <c r="B23" t="s">
        <v>65</v>
      </c>
      <c r="D23" t="s">
        <v>15</v>
      </c>
      <c r="E23" t="s">
        <v>16</v>
      </c>
      <c r="F23" t="s">
        <v>17</v>
      </c>
      <c r="K23" t="str">
        <f t="shared" si="0"/>
        <v/>
      </c>
      <c r="L23" t="str">
        <f t="shared" si="1"/>
        <v/>
      </c>
    </row>
    <row r="24" spans="1:12" x14ac:dyDescent="0.25">
      <c r="A24" t="s">
        <v>66</v>
      </c>
      <c r="B24" t="s">
        <v>67</v>
      </c>
      <c r="D24" t="s">
        <v>15</v>
      </c>
      <c r="E24" t="s">
        <v>16</v>
      </c>
      <c r="F24" t="s">
        <v>17</v>
      </c>
      <c r="K24" t="str">
        <f t="shared" si="0"/>
        <v/>
      </c>
      <c r="L24" t="str">
        <f t="shared" si="1"/>
        <v/>
      </c>
    </row>
    <row r="25" spans="1:12" x14ac:dyDescent="0.25">
      <c r="A25" t="s">
        <v>68</v>
      </c>
      <c r="B25" t="s">
        <v>69</v>
      </c>
      <c r="E25" t="s">
        <v>26</v>
      </c>
      <c r="F25" t="s">
        <v>17</v>
      </c>
      <c r="K25" t="str">
        <f t="shared" si="0"/>
        <v/>
      </c>
      <c r="L25" t="str">
        <f t="shared" si="1"/>
        <v/>
      </c>
    </row>
    <row r="26" spans="1:12" x14ac:dyDescent="0.25">
      <c r="A26" t="s">
        <v>70</v>
      </c>
      <c r="B26" t="s">
        <v>71</v>
      </c>
      <c r="D26" t="s">
        <v>15</v>
      </c>
      <c r="E26" t="s">
        <v>16</v>
      </c>
      <c r="F26" t="s">
        <v>17</v>
      </c>
      <c r="K26" t="str">
        <f t="shared" si="0"/>
        <v/>
      </c>
      <c r="L26" t="str">
        <f t="shared" si="1"/>
        <v/>
      </c>
    </row>
    <row r="27" spans="1:12" x14ac:dyDescent="0.25">
      <c r="A27" t="s">
        <v>72</v>
      </c>
      <c r="B27" t="s">
        <v>73</v>
      </c>
      <c r="E27" t="s">
        <v>16</v>
      </c>
      <c r="F27" t="s">
        <v>17</v>
      </c>
      <c r="K27" t="str">
        <f t="shared" si="0"/>
        <v/>
      </c>
      <c r="L27" t="str">
        <f t="shared" si="1"/>
        <v/>
      </c>
    </row>
    <row r="28" spans="1:12" x14ac:dyDescent="0.25">
      <c r="A28" t="s">
        <v>74</v>
      </c>
      <c r="B28" t="s">
        <v>75</v>
      </c>
      <c r="E28" t="s">
        <v>16</v>
      </c>
      <c r="F28" t="s">
        <v>17</v>
      </c>
      <c r="K28" t="str">
        <f t="shared" si="0"/>
        <v/>
      </c>
      <c r="L28" t="str">
        <f t="shared" si="1"/>
        <v/>
      </c>
    </row>
    <row r="29" spans="1:12" x14ac:dyDescent="0.25">
      <c r="A29" t="s">
        <v>76</v>
      </c>
      <c r="B29" t="s">
        <v>77</v>
      </c>
      <c r="E29" t="s">
        <v>16</v>
      </c>
      <c r="F29" t="s">
        <v>17</v>
      </c>
      <c r="K29" t="str">
        <f t="shared" si="0"/>
        <v/>
      </c>
      <c r="L29" t="str">
        <f t="shared" si="1"/>
        <v/>
      </c>
    </row>
    <row r="30" spans="1:12" x14ac:dyDescent="0.25">
      <c r="A30" t="s">
        <v>78</v>
      </c>
      <c r="B30" t="s">
        <v>79</v>
      </c>
      <c r="E30" t="s">
        <v>26</v>
      </c>
      <c r="F30" t="s">
        <v>17</v>
      </c>
      <c r="K30" t="str">
        <f t="shared" si="0"/>
        <v/>
      </c>
      <c r="L30" t="str">
        <f t="shared" si="1"/>
        <v/>
      </c>
    </row>
    <row r="31" spans="1:12" x14ac:dyDescent="0.25">
      <c r="A31" t="s">
        <v>80</v>
      </c>
      <c r="B31" t="s">
        <v>81</v>
      </c>
      <c r="E31" t="s">
        <v>26</v>
      </c>
      <c r="F31" t="s">
        <v>17</v>
      </c>
      <c r="K31" t="str">
        <f t="shared" si="0"/>
        <v/>
      </c>
      <c r="L31" t="str">
        <f t="shared" si="1"/>
        <v/>
      </c>
    </row>
    <row r="32" spans="1:12" x14ac:dyDescent="0.25">
      <c r="A32" t="s">
        <v>82</v>
      </c>
      <c r="B32" t="s">
        <v>83</v>
      </c>
      <c r="E32" t="s">
        <v>16</v>
      </c>
      <c r="F32" t="s">
        <v>17</v>
      </c>
      <c r="K32" t="str">
        <f t="shared" si="0"/>
        <v/>
      </c>
      <c r="L32" t="str">
        <f t="shared" si="1"/>
        <v/>
      </c>
    </row>
    <row r="33" spans="1:12" x14ac:dyDescent="0.25">
      <c r="A33" t="s">
        <v>84</v>
      </c>
      <c r="B33" t="s">
        <v>85</v>
      </c>
      <c r="E33" t="s">
        <v>16</v>
      </c>
      <c r="F33" t="s">
        <v>17</v>
      </c>
      <c r="K33" t="str">
        <f t="shared" si="0"/>
        <v/>
      </c>
      <c r="L33" t="str">
        <f t="shared" si="1"/>
        <v/>
      </c>
    </row>
    <row r="34" spans="1:12" x14ac:dyDescent="0.25">
      <c r="A34" t="s">
        <v>86</v>
      </c>
      <c r="B34" t="s">
        <v>87</v>
      </c>
      <c r="E34" t="s">
        <v>26</v>
      </c>
      <c r="F34" t="s">
        <v>17</v>
      </c>
      <c r="K34" t="str">
        <f t="shared" si="0"/>
        <v/>
      </c>
      <c r="L34" t="str">
        <f t="shared" si="1"/>
        <v/>
      </c>
    </row>
    <row r="35" spans="1:12" x14ac:dyDescent="0.25">
      <c r="A35" t="s">
        <v>88</v>
      </c>
      <c r="B35" t="s">
        <v>89</v>
      </c>
      <c r="E35" t="s">
        <v>16</v>
      </c>
      <c r="F35" t="s">
        <v>17</v>
      </c>
      <c r="K35" t="str">
        <f t="shared" si="0"/>
        <v/>
      </c>
      <c r="L35" t="str">
        <f t="shared" si="1"/>
        <v/>
      </c>
    </row>
    <row r="36" spans="1:12" x14ac:dyDescent="0.25">
      <c r="A36" t="s">
        <v>90</v>
      </c>
      <c r="B36" t="s">
        <v>91</v>
      </c>
      <c r="E36" t="s">
        <v>16</v>
      </c>
      <c r="F36" t="s">
        <v>17</v>
      </c>
      <c r="K36" t="str">
        <f t="shared" si="0"/>
        <v/>
      </c>
      <c r="L36" t="str">
        <f t="shared" si="1"/>
        <v/>
      </c>
    </row>
    <row r="37" spans="1:12" x14ac:dyDescent="0.25">
      <c r="A37" t="s">
        <v>92</v>
      </c>
      <c r="B37" t="s">
        <v>93</v>
      </c>
      <c r="E37" t="s">
        <v>16</v>
      </c>
      <c r="F37" t="s">
        <v>17</v>
      </c>
      <c r="K37" t="str">
        <f t="shared" ref="K37:K76" si="2">IF(I37&lt;&gt;"",HYPERLINK("https://dev.azure.com/infomedics/TIM/_workitems/edit/"&amp;I37,"Open DEV "&amp;I37),"")</f>
        <v/>
      </c>
      <c r="L37" t="str">
        <f t="shared" ref="L37:L62" si="3">IF(J37&lt;&gt;"",HYPERLINK("https://dev.azure.com/infomedics/TIM/_workitems/edit/"&amp;J37,"Open INT "&amp;J37),"")</f>
        <v/>
      </c>
    </row>
    <row r="38" spans="1:12" x14ac:dyDescent="0.25">
      <c r="A38" t="s">
        <v>94</v>
      </c>
      <c r="B38" t="s">
        <v>95</v>
      </c>
      <c r="E38" t="s">
        <v>16</v>
      </c>
      <c r="F38" t="s">
        <v>17</v>
      </c>
      <c r="K38" t="str">
        <f t="shared" si="2"/>
        <v/>
      </c>
      <c r="L38" t="str">
        <f t="shared" si="3"/>
        <v/>
      </c>
    </row>
    <row r="39" spans="1:12" x14ac:dyDescent="0.25">
      <c r="A39" t="s">
        <v>96</v>
      </c>
      <c r="B39" t="s">
        <v>97</v>
      </c>
      <c r="E39" t="s">
        <v>16</v>
      </c>
      <c r="F39" t="s">
        <v>17</v>
      </c>
      <c r="K39" t="str">
        <f t="shared" si="2"/>
        <v/>
      </c>
      <c r="L39" t="str">
        <f t="shared" si="3"/>
        <v/>
      </c>
    </row>
    <row r="40" spans="1:12" x14ac:dyDescent="0.25">
      <c r="A40" t="s">
        <v>98</v>
      </c>
      <c r="B40" t="s">
        <v>99</v>
      </c>
      <c r="E40" t="s">
        <v>16</v>
      </c>
      <c r="F40" t="s">
        <v>17</v>
      </c>
      <c r="K40" t="str">
        <f t="shared" si="2"/>
        <v/>
      </c>
      <c r="L40" t="str">
        <f t="shared" si="3"/>
        <v/>
      </c>
    </row>
    <row r="41" spans="1:12" x14ac:dyDescent="0.25">
      <c r="A41" t="s">
        <v>100</v>
      </c>
      <c r="B41" t="s">
        <v>101</v>
      </c>
      <c r="E41" t="s">
        <v>16</v>
      </c>
      <c r="F41" t="s">
        <v>17</v>
      </c>
      <c r="K41" t="str">
        <f t="shared" si="2"/>
        <v/>
      </c>
      <c r="L41" t="str">
        <f t="shared" si="3"/>
        <v/>
      </c>
    </row>
    <row r="42" spans="1:12" x14ac:dyDescent="0.25">
      <c r="A42" t="s">
        <v>102</v>
      </c>
      <c r="B42" t="s">
        <v>103</v>
      </c>
      <c r="D42" t="s">
        <v>15</v>
      </c>
      <c r="E42" t="s">
        <v>16</v>
      </c>
      <c r="F42" t="s">
        <v>17</v>
      </c>
      <c r="K42" t="str">
        <f t="shared" si="2"/>
        <v/>
      </c>
      <c r="L42" t="str">
        <f t="shared" si="3"/>
        <v/>
      </c>
    </row>
    <row r="43" spans="1:12" x14ac:dyDescent="0.25">
      <c r="A43" t="s">
        <v>104</v>
      </c>
      <c r="B43" t="s">
        <v>105</v>
      </c>
      <c r="D43" t="s">
        <v>15</v>
      </c>
      <c r="E43" t="s">
        <v>16</v>
      </c>
      <c r="F43" t="s">
        <v>17</v>
      </c>
      <c r="K43" t="str">
        <f t="shared" si="2"/>
        <v/>
      </c>
      <c r="L43" t="str">
        <f t="shared" si="3"/>
        <v/>
      </c>
    </row>
    <row r="44" spans="1:12" x14ac:dyDescent="0.25">
      <c r="A44" t="s">
        <v>106</v>
      </c>
      <c r="B44" t="s">
        <v>107</v>
      </c>
      <c r="E44" t="s">
        <v>16</v>
      </c>
      <c r="F44" t="s">
        <v>17</v>
      </c>
      <c r="K44" t="str">
        <f t="shared" si="2"/>
        <v/>
      </c>
      <c r="L44" t="str">
        <f t="shared" si="3"/>
        <v/>
      </c>
    </row>
    <row r="45" spans="1:12" x14ac:dyDescent="0.25">
      <c r="A45" t="s">
        <v>108</v>
      </c>
      <c r="B45" t="s">
        <v>109</v>
      </c>
      <c r="E45" t="s">
        <v>26</v>
      </c>
      <c r="F45" t="s">
        <v>17</v>
      </c>
      <c r="K45" t="str">
        <f t="shared" si="2"/>
        <v/>
      </c>
      <c r="L45" t="str">
        <f t="shared" si="3"/>
        <v/>
      </c>
    </row>
    <row r="46" spans="1:12" x14ac:dyDescent="0.25">
      <c r="A46" t="s">
        <v>110</v>
      </c>
      <c r="B46" t="s">
        <v>111</v>
      </c>
      <c r="D46" t="s">
        <v>15</v>
      </c>
      <c r="E46" t="s">
        <v>16</v>
      </c>
      <c r="F46" t="s">
        <v>17</v>
      </c>
      <c r="K46" t="str">
        <f t="shared" si="2"/>
        <v/>
      </c>
      <c r="L46" t="str">
        <f t="shared" si="3"/>
        <v/>
      </c>
    </row>
    <row r="47" spans="1:12" x14ac:dyDescent="0.25">
      <c r="A47" t="s">
        <v>112</v>
      </c>
      <c r="B47" t="s">
        <v>113</v>
      </c>
      <c r="E47" t="s">
        <v>16</v>
      </c>
      <c r="F47" t="s">
        <v>17</v>
      </c>
      <c r="K47" t="str">
        <f t="shared" si="2"/>
        <v/>
      </c>
      <c r="L47" t="str">
        <f t="shared" si="3"/>
        <v/>
      </c>
    </row>
    <row r="48" spans="1:12" x14ac:dyDescent="0.25">
      <c r="A48" t="s">
        <v>114</v>
      </c>
      <c r="B48" t="s">
        <v>115</v>
      </c>
      <c r="D48" t="s">
        <v>15</v>
      </c>
      <c r="E48" t="s">
        <v>16</v>
      </c>
      <c r="F48" t="s">
        <v>17</v>
      </c>
      <c r="K48" t="str">
        <f t="shared" si="2"/>
        <v/>
      </c>
      <c r="L48" t="str">
        <f t="shared" si="3"/>
        <v/>
      </c>
    </row>
    <row r="49" spans="1:12" x14ac:dyDescent="0.25">
      <c r="A49" t="s">
        <v>116</v>
      </c>
      <c r="B49" t="s">
        <v>117</v>
      </c>
      <c r="E49" t="s">
        <v>26</v>
      </c>
      <c r="F49" t="s">
        <v>17</v>
      </c>
      <c r="K49" t="str">
        <f t="shared" si="2"/>
        <v/>
      </c>
      <c r="L49" t="str">
        <f t="shared" si="3"/>
        <v/>
      </c>
    </row>
    <row r="50" spans="1:12" x14ac:dyDescent="0.25">
      <c r="A50" t="s">
        <v>118</v>
      </c>
      <c r="B50" t="s">
        <v>119</v>
      </c>
      <c r="D50" t="s">
        <v>120</v>
      </c>
      <c r="E50" t="s">
        <v>16</v>
      </c>
      <c r="F50" t="s">
        <v>17</v>
      </c>
      <c r="K50" t="str">
        <f t="shared" si="2"/>
        <v/>
      </c>
      <c r="L50" t="str">
        <f t="shared" si="3"/>
        <v/>
      </c>
    </row>
    <row r="51" spans="1:12" x14ac:dyDescent="0.25">
      <c r="A51" t="s">
        <v>121</v>
      </c>
      <c r="B51" t="s">
        <v>122</v>
      </c>
      <c r="E51" t="s">
        <v>26</v>
      </c>
      <c r="F51" t="s">
        <v>17</v>
      </c>
      <c r="K51" t="str">
        <f t="shared" si="2"/>
        <v/>
      </c>
      <c r="L51" t="str">
        <f t="shared" si="3"/>
        <v/>
      </c>
    </row>
    <row r="52" spans="1:12" x14ac:dyDescent="0.25">
      <c r="A52" t="s">
        <v>123</v>
      </c>
      <c r="B52" t="s">
        <v>124</v>
      </c>
      <c r="D52" t="s">
        <v>120</v>
      </c>
      <c r="E52" t="s">
        <v>16</v>
      </c>
      <c r="F52" t="s">
        <v>17</v>
      </c>
      <c r="K52" t="str">
        <f t="shared" si="2"/>
        <v/>
      </c>
      <c r="L52" t="str">
        <f t="shared" si="3"/>
        <v/>
      </c>
    </row>
    <row r="53" spans="1:12" x14ac:dyDescent="0.25">
      <c r="A53" t="s">
        <v>125</v>
      </c>
      <c r="B53" t="s">
        <v>126</v>
      </c>
      <c r="E53" t="s">
        <v>26</v>
      </c>
      <c r="F53" t="s">
        <v>17</v>
      </c>
      <c r="K53" t="str">
        <f t="shared" si="2"/>
        <v/>
      </c>
      <c r="L53" t="str">
        <f t="shared" si="3"/>
        <v/>
      </c>
    </row>
    <row r="54" spans="1:12" x14ac:dyDescent="0.25">
      <c r="A54" t="s">
        <v>127</v>
      </c>
      <c r="B54" t="s">
        <v>128</v>
      </c>
      <c r="E54" t="s">
        <v>26</v>
      </c>
      <c r="F54" t="s">
        <v>17</v>
      </c>
      <c r="K54" t="str">
        <f t="shared" si="2"/>
        <v/>
      </c>
      <c r="L54" t="str">
        <f t="shared" si="3"/>
        <v/>
      </c>
    </row>
    <row r="55" spans="1:12" x14ac:dyDescent="0.25">
      <c r="A55" t="s">
        <v>129</v>
      </c>
      <c r="B55" t="s">
        <v>130</v>
      </c>
      <c r="E55" t="s">
        <v>26</v>
      </c>
      <c r="F55" t="s">
        <v>17</v>
      </c>
      <c r="K55" t="str">
        <f t="shared" si="2"/>
        <v/>
      </c>
      <c r="L55" t="str">
        <f t="shared" si="3"/>
        <v/>
      </c>
    </row>
    <row r="56" spans="1:12" x14ac:dyDescent="0.25">
      <c r="A56" t="s">
        <v>131</v>
      </c>
      <c r="B56" t="s">
        <v>132</v>
      </c>
      <c r="E56" t="s">
        <v>26</v>
      </c>
      <c r="F56" t="s">
        <v>17</v>
      </c>
      <c r="K56" t="str">
        <f t="shared" si="2"/>
        <v/>
      </c>
      <c r="L56" t="str">
        <f t="shared" si="3"/>
        <v/>
      </c>
    </row>
    <row r="57" spans="1:12" x14ac:dyDescent="0.25">
      <c r="A57" t="s">
        <v>133</v>
      </c>
      <c r="B57" t="s">
        <v>134</v>
      </c>
      <c r="E57" t="s">
        <v>26</v>
      </c>
      <c r="F57" t="s">
        <v>17</v>
      </c>
      <c r="K57" t="str">
        <f t="shared" si="2"/>
        <v/>
      </c>
      <c r="L57" t="str">
        <f t="shared" si="3"/>
        <v/>
      </c>
    </row>
    <row r="58" spans="1:12" x14ac:dyDescent="0.25">
      <c r="A58" t="s">
        <v>135</v>
      </c>
      <c r="B58" t="s">
        <v>136</v>
      </c>
      <c r="E58" t="s">
        <v>26</v>
      </c>
      <c r="F58" t="s">
        <v>17</v>
      </c>
      <c r="K58" t="str">
        <f t="shared" si="2"/>
        <v/>
      </c>
      <c r="L58" t="str">
        <f t="shared" si="3"/>
        <v/>
      </c>
    </row>
    <row r="59" spans="1:12" x14ac:dyDescent="0.25">
      <c r="A59" t="s">
        <v>137</v>
      </c>
      <c r="B59" t="s">
        <v>138</v>
      </c>
      <c r="E59" t="s">
        <v>26</v>
      </c>
      <c r="F59" t="s">
        <v>17</v>
      </c>
      <c r="K59" t="str">
        <f t="shared" si="2"/>
        <v/>
      </c>
      <c r="L59" t="str">
        <f t="shared" si="3"/>
        <v/>
      </c>
    </row>
    <row r="60" spans="1:12" x14ac:dyDescent="0.25">
      <c r="A60" t="s">
        <v>139</v>
      </c>
      <c r="B60" t="s">
        <v>140</v>
      </c>
      <c r="E60" t="s">
        <v>26</v>
      </c>
      <c r="F60" t="s">
        <v>17</v>
      </c>
      <c r="K60" t="str">
        <f t="shared" si="2"/>
        <v/>
      </c>
      <c r="L60" t="str">
        <f t="shared" si="3"/>
        <v/>
      </c>
    </row>
    <row r="61" spans="1:12" x14ac:dyDescent="0.25">
      <c r="A61" t="s">
        <v>141</v>
      </c>
      <c r="B61" t="s">
        <v>142</v>
      </c>
      <c r="D61" t="s">
        <v>15</v>
      </c>
      <c r="E61" t="s">
        <v>16</v>
      </c>
      <c r="F61" t="s">
        <v>17</v>
      </c>
      <c r="K61" t="str">
        <f t="shared" si="2"/>
        <v/>
      </c>
      <c r="L61" t="str">
        <f t="shared" si="3"/>
        <v/>
      </c>
    </row>
    <row r="62" spans="1:12" x14ac:dyDescent="0.25">
      <c r="A62" t="s">
        <v>143</v>
      </c>
      <c r="B62" t="s">
        <v>144</v>
      </c>
      <c r="D62" t="s">
        <v>15</v>
      </c>
      <c r="E62" t="s">
        <v>21</v>
      </c>
      <c r="F62" t="s">
        <v>17</v>
      </c>
      <c r="K62" t="str">
        <f t="shared" si="2"/>
        <v/>
      </c>
      <c r="L62" t="str">
        <f t="shared" si="3"/>
        <v/>
      </c>
    </row>
    <row r="63" spans="1:12" ht="30" x14ac:dyDescent="0.25">
      <c r="A63" t="s">
        <v>145</v>
      </c>
      <c r="B63" s="4" t="s">
        <v>146</v>
      </c>
      <c r="D63" t="s">
        <v>15</v>
      </c>
      <c r="E63" t="s">
        <v>21</v>
      </c>
      <c r="F63" t="s">
        <v>17</v>
      </c>
      <c r="K63" s="3" t="str">
        <f>IF(I63&lt;&gt;"",HYPERLINK("https://dev.azure.com/infomedics/TIM/_workitems/edit/"&amp;I63,"Open DEV "&amp;I63),"")</f>
        <v/>
      </c>
      <c r="L63" s="3" t="str">
        <f>IF(J63&lt;&gt;"",HYPERLINK("https://dev.azure.com/infomedics/TIM/_workitems/edit/"&amp;J63,"Open INT "&amp;J63),"")</f>
        <v/>
      </c>
    </row>
    <row r="64" spans="1:12" x14ac:dyDescent="0.25">
      <c r="A64" t="s">
        <v>147</v>
      </c>
      <c r="B64" t="s">
        <v>148</v>
      </c>
      <c r="K64" s="3" t="str">
        <f>IF(I64&lt;&gt;"",HYPERLINK("https://dev.azure.com/infomedics/TIM/_workitems/edit/"&amp;I64,"Open DEV "&amp;I64),"")</f>
        <v/>
      </c>
      <c r="L64" s="3" t="str">
        <f>IF(J64&lt;&gt;"",HYPERLINK("https://dev.azure.com/infomedics/TIM/_workitems/edit/"&amp;J64,"Open INT "&amp;J64),"")</f>
        <v/>
      </c>
    </row>
    <row r="65" spans="1:12" x14ac:dyDescent="0.25">
      <c r="A65" t="s">
        <v>149</v>
      </c>
      <c r="B65" t="s">
        <v>150</v>
      </c>
      <c r="K65" s="3" t="str">
        <f>IF(I65&lt;&gt;"",HYPERLINK("https://dev.azure.com/infomedics/TIM/_workitems/edit/"&amp;I65,"Open DEV "&amp;I65),"")</f>
        <v/>
      </c>
      <c r="L65" s="3" t="str">
        <f>IF(J65&lt;&gt;"",HYPERLINK("https://dev.azure.com/infomedics/TIM/_workitems/edit/"&amp;J65,"Open INT "&amp;J65),"")</f>
        <v/>
      </c>
    </row>
    <row r="66" spans="1:12" x14ac:dyDescent="0.25">
      <c r="A66" t="s">
        <v>151</v>
      </c>
      <c r="B66" t="s">
        <v>152</v>
      </c>
      <c r="E66" t="s">
        <v>26</v>
      </c>
      <c r="F66" t="s">
        <v>153</v>
      </c>
      <c r="K66" s="3" t="str">
        <f t="shared" si="2"/>
        <v/>
      </c>
      <c r="L66" s="3" t="str">
        <f>IF(J66&lt;&gt;"",HYPERLINK("https://dev.azure.com/infomedics/TIM/_workitems/edit/"&amp;J66,"Open INT "&amp;J66),"")</f>
        <v/>
      </c>
    </row>
    <row r="67" spans="1:12" x14ac:dyDescent="0.25">
      <c r="A67" t="s">
        <v>154</v>
      </c>
      <c r="B67" t="s">
        <v>155</v>
      </c>
      <c r="D67" t="s">
        <v>156</v>
      </c>
      <c r="E67" t="s">
        <v>26</v>
      </c>
      <c r="F67" t="s">
        <v>153</v>
      </c>
      <c r="G67" t="s">
        <v>157</v>
      </c>
      <c r="K67" s="3" t="str">
        <f t="shared" si="2"/>
        <v/>
      </c>
      <c r="L67" s="3" t="str">
        <f t="shared" ref="L67:L76" si="4">IF(J67&lt;&gt;"",HYPERLINK("https://dev.azure.com/infomedics/TIM/_workitems/edit/"&amp;J67,"Open INT "&amp;J67),"")</f>
        <v/>
      </c>
    </row>
    <row r="68" spans="1:12" x14ac:dyDescent="0.25">
      <c r="A68" t="s">
        <v>158</v>
      </c>
      <c r="B68" t="s">
        <v>159</v>
      </c>
      <c r="D68" t="s">
        <v>160</v>
      </c>
      <c r="E68" t="s">
        <v>21</v>
      </c>
      <c r="K68" s="3" t="str">
        <f t="shared" si="2"/>
        <v/>
      </c>
      <c r="L68" s="3" t="str">
        <f t="shared" si="4"/>
        <v/>
      </c>
    </row>
    <row r="69" spans="1:12" x14ac:dyDescent="0.25">
      <c r="A69" t="s">
        <v>161</v>
      </c>
      <c r="B69" t="s">
        <v>162</v>
      </c>
      <c r="D69" t="s">
        <v>160</v>
      </c>
      <c r="E69" t="s">
        <v>26</v>
      </c>
      <c r="K69" s="3" t="str">
        <f t="shared" si="2"/>
        <v/>
      </c>
      <c r="L69" s="3" t="str">
        <f t="shared" si="4"/>
        <v/>
      </c>
    </row>
    <row r="70" spans="1:12" x14ac:dyDescent="0.25">
      <c r="A70" t="s">
        <v>163</v>
      </c>
      <c r="B70" t="s">
        <v>164</v>
      </c>
      <c r="D70" t="s">
        <v>165</v>
      </c>
      <c r="E70" t="s">
        <v>21</v>
      </c>
      <c r="K70" s="3" t="str">
        <f t="shared" si="2"/>
        <v/>
      </c>
      <c r="L70" s="3" t="str">
        <f t="shared" si="4"/>
        <v/>
      </c>
    </row>
    <row r="71" spans="1:12" x14ac:dyDescent="0.25">
      <c r="A71" t="s">
        <v>166</v>
      </c>
      <c r="B71" s="4" t="s">
        <v>167</v>
      </c>
      <c r="D71" t="s">
        <v>160</v>
      </c>
      <c r="E71" t="s">
        <v>26</v>
      </c>
      <c r="K71" s="3" t="str">
        <f t="shared" si="2"/>
        <v/>
      </c>
      <c r="L71" s="3" t="str">
        <f t="shared" si="4"/>
        <v/>
      </c>
    </row>
    <row r="72" spans="1:12" x14ac:dyDescent="0.25">
      <c r="A72" t="s">
        <v>168</v>
      </c>
      <c r="B72" t="s">
        <v>169</v>
      </c>
      <c r="D72" t="s">
        <v>20</v>
      </c>
      <c r="E72" t="s">
        <v>16</v>
      </c>
      <c r="F72" t="s">
        <v>17</v>
      </c>
      <c r="K72" s="3" t="str">
        <f t="shared" si="2"/>
        <v/>
      </c>
      <c r="L72" s="3" t="str">
        <f t="shared" si="4"/>
        <v/>
      </c>
    </row>
    <row r="73" spans="1:12" x14ac:dyDescent="0.25">
      <c r="A73" t="s">
        <v>170</v>
      </c>
      <c r="B73" t="s">
        <v>171</v>
      </c>
      <c r="E73" t="s">
        <v>16</v>
      </c>
      <c r="K73" s="3" t="str">
        <f t="shared" ref="K73" si="5">IF(I73&lt;&gt;"",HYPERLINK("https://dev.azure.com/infomedics/TIM/_workitems/edit/"&amp;I73,"Open DEV "&amp;I73),"")</f>
        <v/>
      </c>
      <c r="L73" s="3" t="str">
        <f t="shared" ref="L73" si="6">IF(J73&lt;&gt;"",HYPERLINK("https://dev.azure.com/infomedics/TIM/_workitems/edit/"&amp;J73,"Open INT "&amp;J73),"")</f>
        <v/>
      </c>
    </row>
    <row r="74" spans="1:12" ht="15" customHeight="1" x14ac:dyDescent="0.25">
      <c r="A74" t="s">
        <v>172</v>
      </c>
      <c r="B74" t="s">
        <v>173</v>
      </c>
      <c r="E74" t="s">
        <v>16</v>
      </c>
      <c r="K74" s="3" t="str">
        <f>IF(I74&lt;&gt;"",HYPERLINK("https://dev.azure.com/infomedics/TIM/_workitems/edit/"&amp;I74,"Open DEV "&amp;I74),"")</f>
        <v/>
      </c>
      <c r="L74" s="3" t="str">
        <f>IF(J74&lt;&gt;"",HYPERLINK("https://dev.azure.com/infomedics/TIM/_workitems/edit/"&amp;J74,"Open INT "&amp;J74),"")</f>
        <v/>
      </c>
    </row>
    <row r="75" spans="1:12" ht="15" customHeight="1" x14ac:dyDescent="0.25">
      <c r="A75" t="s">
        <v>174</v>
      </c>
      <c r="B75" t="s">
        <v>175</v>
      </c>
      <c r="D75" t="s">
        <v>40</v>
      </c>
      <c r="E75" t="s">
        <v>26</v>
      </c>
      <c r="K75" s="3" t="str">
        <f t="shared" si="2"/>
        <v/>
      </c>
      <c r="L75" s="3" t="str">
        <f t="shared" si="4"/>
        <v/>
      </c>
    </row>
    <row r="76" spans="1:12" ht="15" customHeight="1" x14ac:dyDescent="0.25">
      <c r="A76" t="s">
        <v>176</v>
      </c>
      <c r="B76" t="s">
        <v>177</v>
      </c>
      <c r="D76" t="s">
        <v>40</v>
      </c>
      <c r="E76" t="s">
        <v>26</v>
      </c>
      <c r="K76" s="3" t="str">
        <f t="shared" si="2"/>
        <v/>
      </c>
      <c r="L76" s="3" t="str">
        <f t="shared" si="4"/>
        <v/>
      </c>
    </row>
    <row r="77" spans="1:12" ht="15" customHeight="1" x14ac:dyDescent="0.25">
      <c r="A77" t="s">
        <v>178</v>
      </c>
      <c r="B77" t="s">
        <v>179</v>
      </c>
      <c r="D77" t="s">
        <v>40</v>
      </c>
      <c r="E77" t="s">
        <v>16</v>
      </c>
      <c r="K77" s="3" t="str">
        <f t="shared" ref="K77:K86" si="7">IF(I77&lt;&gt;"",HYPERLINK("https://dev.azure.com/infomedics/TIM/_workitems/edit/"&amp;I77,"Open DEV "&amp;I77),"")</f>
        <v/>
      </c>
      <c r="L77" s="3" t="str">
        <f t="shared" ref="L77:L86" si="8">IF(J77&lt;&gt;"",HYPERLINK("https://dev.azure.com/infomedics/TIM/_workitems/edit/"&amp;J77,"Open INT "&amp;J77),"")</f>
        <v/>
      </c>
    </row>
    <row r="78" spans="1:12" ht="15" customHeight="1" x14ac:dyDescent="0.25">
      <c r="A78" t="s">
        <v>180</v>
      </c>
      <c r="B78" t="s">
        <v>181</v>
      </c>
      <c r="D78" t="s">
        <v>40</v>
      </c>
      <c r="E78" t="s">
        <v>26</v>
      </c>
      <c r="K78" s="3" t="str">
        <f t="shared" si="7"/>
        <v/>
      </c>
      <c r="L78" s="3" t="str">
        <f t="shared" si="8"/>
        <v/>
      </c>
    </row>
    <row r="79" spans="1:12" ht="15" customHeight="1" x14ac:dyDescent="0.25">
      <c r="A79" t="s">
        <v>182</v>
      </c>
      <c r="B79" t="s">
        <v>183</v>
      </c>
      <c r="D79" t="s">
        <v>40</v>
      </c>
      <c r="E79" t="s">
        <v>26</v>
      </c>
      <c r="K79" s="3" t="str">
        <f t="shared" si="7"/>
        <v/>
      </c>
      <c r="L79" s="3" t="str">
        <f t="shared" si="8"/>
        <v/>
      </c>
    </row>
    <row r="80" spans="1:12" ht="15" customHeight="1" x14ac:dyDescent="0.25">
      <c r="A80" t="s">
        <v>184</v>
      </c>
      <c r="B80" t="s">
        <v>185</v>
      </c>
      <c r="D80" t="s">
        <v>40</v>
      </c>
      <c r="E80" t="s">
        <v>16</v>
      </c>
      <c r="K80" s="3" t="str">
        <f t="shared" si="7"/>
        <v/>
      </c>
      <c r="L80" s="3" t="str">
        <f t="shared" si="8"/>
        <v/>
      </c>
    </row>
    <row r="81" spans="1:12" ht="15" customHeight="1" x14ac:dyDescent="0.25">
      <c r="A81" t="s">
        <v>186</v>
      </c>
      <c r="B81" t="s">
        <v>187</v>
      </c>
      <c r="D81" t="s">
        <v>20</v>
      </c>
      <c r="E81" t="s">
        <v>16</v>
      </c>
      <c r="K81" s="3" t="str">
        <f t="shared" si="7"/>
        <v/>
      </c>
      <c r="L81" s="3" t="str">
        <f t="shared" si="8"/>
        <v/>
      </c>
    </row>
    <row r="82" spans="1:12" ht="15" customHeight="1" x14ac:dyDescent="0.25">
      <c r="A82" t="s">
        <v>188</v>
      </c>
      <c r="B82" t="s">
        <v>189</v>
      </c>
      <c r="D82" t="s">
        <v>20</v>
      </c>
      <c r="E82" t="s">
        <v>16</v>
      </c>
      <c r="K82" s="3" t="str">
        <f t="shared" si="7"/>
        <v/>
      </c>
      <c r="L82" s="3" t="str">
        <f t="shared" si="8"/>
        <v/>
      </c>
    </row>
    <row r="83" spans="1:12" ht="15" customHeight="1" x14ac:dyDescent="0.25">
      <c r="A83" t="s">
        <v>190</v>
      </c>
      <c r="K83" s="3" t="str">
        <f t="shared" si="7"/>
        <v/>
      </c>
      <c r="L83" s="3" t="str">
        <f t="shared" si="8"/>
        <v/>
      </c>
    </row>
    <row r="84" spans="1:12" ht="15" customHeight="1" x14ac:dyDescent="0.25">
      <c r="A84" t="s">
        <v>191</v>
      </c>
      <c r="K84" s="3" t="str">
        <f t="shared" si="7"/>
        <v/>
      </c>
      <c r="L84" s="3" t="str">
        <f t="shared" si="8"/>
        <v/>
      </c>
    </row>
    <row r="85" spans="1:12" ht="15" customHeight="1" x14ac:dyDescent="0.25">
      <c r="A85" t="s">
        <v>192</v>
      </c>
      <c r="K85" s="3" t="str">
        <f t="shared" si="7"/>
        <v/>
      </c>
      <c r="L85" s="3" t="str">
        <f t="shared" si="8"/>
        <v/>
      </c>
    </row>
    <row r="86" spans="1:12" ht="15" customHeight="1" x14ac:dyDescent="0.25">
      <c r="A86" t="s">
        <v>193</v>
      </c>
      <c r="K86" s="3" t="str">
        <f t="shared" si="7"/>
        <v/>
      </c>
      <c r="L86" s="3" t="str">
        <f t="shared" si="8"/>
        <v/>
      </c>
    </row>
    <row r="87" spans="1:12" ht="15" customHeight="1" x14ac:dyDescent="0.25">
      <c r="A87" t="s">
        <v>194</v>
      </c>
      <c r="K87" s="3" t="str">
        <f t="shared" ref="K87:K88" si="9">IF(I87&lt;&gt;"",HYPERLINK("https://dev.azure.com/infomedics/TIM/_workitems/edit/"&amp;I87,"Open DEV "&amp;I87),"")</f>
        <v/>
      </c>
      <c r="L87" s="3" t="str">
        <f t="shared" ref="L87:L88" si="10">IF(J87&lt;&gt;"",HYPERLINK("https://dev.azure.com/infomedics/TIM/_workitems/edit/"&amp;J87,"Open INT "&amp;J87),"")</f>
        <v/>
      </c>
    </row>
    <row r="88" spans="1:12" ht="15" customHeight="1" x14ac:dyDescent="0.25">
      <c r="A88" t="s">
        <v>195</v>
      </c>
      <c r="K88" s="3" t="str">
        <f t="shared" si="9"/>
        <v/>
      </c>
      <c r="L88" s="3" t="str">
        <f t="shared" si="10"/>
        <v/>
      </c>
    </row>
    <row r="89" spans="1:12" ht="15" customHeight="1" x14ac:dyDescent="0.25">
      <c r="A89" t="s">
        <v>196</v>
      </c>
      <c r="K89" s="3" t="str">
        <f t="shared" ref="K89:K90" si="11">IF(I89&lt;&gt;"",HYPERLINK("https://dev.azure.com/infomedics/TIM/_workitems/edit/"&amp;I89,"Open DEV "&amp;I89),"")</f>
        <v/>
      </c>
      <c r="L89" s="3" t="str">
        <f t="shared" ref="L89:L90" si="12">IF(J89&lt;&gt;"",HYPERLINK("https://dev.azure.com/infomedics/TIM/_workitems/edit/"&amp;J89,"Open INT "&amp;J89),"")</f>
        <v/>
      </c>
    </row>
    <row r="90" spans="1:12" ht="15" customHeight="1" x14ac:dyDescent="0.25">
      <c r="A90" t="s">
        <v>197</v>
      </c>
      <c r="K90" s="3" t="str">
        <f t="shared" si="11"/>
        <v/>
      </c>
      <c r="L90" s="3" t="str">
        <f t="shared" si="12"/>
        <v/>
      </c>
    </row>
  </sheetData>
  <phoneticPr fontId="3" type="noConversion"/>
  <conditionalFormatting sqref="E2:E82">
    <cfRule type="cellIs" dxfId="7" priority="1" operator="equal">
      <formula>"IN PROGRESS"</formula>
    </cfRule>
    <cfRule type="cellIs" dxfId="6" priority="3" operator="equal">
      <formula>"DONE"</formula>
    </cfRule>
  </conditionalFormatting>
  <conditionalFormatting sqref="E2:E90">
    <cfRule type="cellIs" dxfId="5" priority="2" operator="equal">
      <formula>"TODO"</formula>
    </cfRule>
  </conditionalFormatting>
  <conditionalFormatting sqref="E83:E96">
    <cfRule type="cellIs" dxfId="4" priority="12" operator="equal">
      <formula>"DONE"</formula>
    </cfRule>
  </conditionalFormatting>
  <conditionalFormatting sqref="E83:E98">
    <cfRule type="cellIs" dxfId="3" priority="10" operator="equal">
      <formula>"IN PROGRESS"</formula>
    </cfRule>
  </conditionalFormatting>
  <hyperlinks>
    <hyperlink ref="G11" r:id="rId1" xr:uid="{611FE18D-6767-470D-AC95-61EA893E0B87}"/>
    <hyperlink ref="G12" r:id="rId2" xr:uid="{B400824B-3EA9-4C37-A6F8-1EC828DA7D53}"/>
  </hyperlinks>
  <pageMargins left="0.7" right="0.7" top="0.75" bottom="0.75" header="0.3" footer="0.3"/>
  <pageSetup paperSize="9" orientation="portrait"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F80EB31-0ABA-4382-ABFD-F2A432937922}">
          <x14:formula1>
            <xm:f>Team_Members!$A$1:$A$47</xm:f>
          </x14:formula1>
          <xm:sqref>D2:D90</xm:sqref>
        </x14:dataValidation>
        <x14:dataValidation type="list" allowBlank="1" showInputMessage="1" showErrorMessage="1" xr:uid="{4716DBB6-FECC-4603-BD74-075CFD93D77E}">
          <x14:formula1>
            <xm:f>Status_Options!$A$1:$A$9</xm:f>
          </x14:formula1>
          <xm:sqref>E2:E90</xm:sqref>
        </x14:dataValidation>
        <x14:dataValidation type="list" allowBlank="1" showInputMessage="1" showErrorMessage="1" xr:uid="{6E1C52B3-41DD-4462-A9DB-EF231DF2950A}">
          <x14:formula1>
            <xm:f>Priorities!$A$1:$A$5</xm:f>
          </x14:formula1>
          <xm:sqref>F2:F90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F3045-0D64-4982-B01F-2C80023C5342}">
  <dimension ref="A1:C4"/>
  <sheetViews>
    <sheetView workbookViewId="0">
      <selection activeCell="C12" sqref="C12"/>
    </sheetView>
  </sheetViews>
  <sheetFormatPr defaultRowHeight="15" x14ac:dyDescent="0.25"/>
  <sheetData>
    <row r="1" spans="1:3" x14ac:dyDescent="0.25">
      <c r="A1" t="s">
        <v>153</v>
      </c>
      <c r="C1" t="s">
        <v>198</v>
      </c>
    </row>
    <row r="2" spans="1:3" x14ac:dyDescent="0.25">
      <c r="A2" t="s">
        <v>17</v>
      </c>
      <c r="C2" t="s">
        <v>199</v>
      </c>
    </row>
    <row r="3" spans="1:3" x14ac:dyDescent="0.25">
      <c r="A3" t="s">
        <v>200</v>
      </c>
    </row>
    <row r="4" spans="1:3" x14ac:dyDescent="0.25">
      <c r="A4" t="s">
        <v>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1276F-763B-4C03-A9F2-647952BF0EFD}">
  <dimension ref="A2:A17"/>
  <sheetViews>
    <sheetView workbookViewId="0">
      <selection activeCell="C33" sqref="C33"/>
    </sheetView>
  </sheetViews>
  <sheetFormatPr defaultRowHeight="15" x14ac:dyDescent="0.25"/>
  <sheetData>
    <row r="2" spans="1:1" x14ac:dyDescent="0.25">
      <c r="A2" t="s">
        <v>202</v>
      </c>
    </row>
    <row r="3" spans="1:1" x14ac:dyDescent="0.25">
      <c r="A3" t="s">
        <v>203</v>
      </c>
    </row>
    <row r="4" spans="1:1" x14ac:dyDescent="0.25">
      <c r="A4" t="s">
        <v>204</v>
      </c>
    </row>
    <row r="5" spans="1:1" x14ac:dyDescent="0.25">
      <c r="A5" t="s">
        <v>205</v>
      </c>
    </row>
    <row r="6" spans="1:1" x14ac:dyDescent="0.25">
      <c r="A6" t="s">
        <v>206</v>
      </c>
    </row>
    <row r="7" spans="1:1" x14ac:dyDescent="0.25">
      <c r="A7" t="s">
        <v>207</v>
      </c>
    </row>
    <row r="8" spans="1:1" x14ac:dyDescent="0.25">
      <c r="A8" t="s">
        <v>208</v>
      </c>
    </row>
    <row r="9" spans="1:1" x14ac:dyDescent="0.25">
      <c r="A9" t="s">
        <v>209</v>
      </c>
    </row>
    <row r="10" spans="1:1" x14ac:dyDescent="0.25">
      <c r="A10" t="s">
        <v>210</v>
      </c>
    </row>
    <row r="11" spans="1:1" x14ac:dyDescent="0.25">
      <c r="A11" t="s">
        <v>211</v>
      </c>
    </row>
    <row r="12" spans="1:1" x14ac:dyDescent="0.25">
      <c r="A12" t="s">
        <v>212</v>
      </c>
    </row>
    <row r="13" spans="1:1" x14ac:dyDescent="0.25">
      <c r="A13" t="s">
        <v>213</v>
      </c>
    </row>
    <row r="14" spans="1:1" x14ac:dyDescent="0.25">
      <c r="A14" t="s">
        <v>214</v>
      </c>
    </row>
    <row r="15" spans="1:1" x14ac:dyDescent="0.25">
      <c r="A15" t="s">
        <v>215</v>
      </c>
    </row>
    <row r="16" spans="1:1" x14ac:dyDescent="0.25">
      <c r="A16" t="s">
        <v>216</v>
      </c>
    </row>
    <row r="17" spans="1:1" x14ac:dyDescent="0.25">
      <c r="A17" t="s">
        <v>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3F8E1-D5B9-4AD4-81D7-331F93D0644D}">
  <dimension ref="A2:A18"/>
  <sheetViews>
    <sheetView workbookViewId="0">
      <selection activeCell="B26" sqref="B26"/>
    </sheetView>
  </sheetViews>
  <sheetFormatPr defaultRowHeight="15" x14ac:dyDescent="0.25"/>
  <sheetData>
    <row r="2" spans="1:1" x14ac:dyDescent="0.25">
      <c r="A2" t="s">
        <v>218</v>
      </c>
    </row>
    <row r="3" spans="1:1" x14ac:dyDescent="0.25">
      <c r="A3" t="s">
        <v>219</v>
      </c>
    </row>
    <row r="4" spans="1:1" x14ac:dyDescent="0.25">
      <c r="A4" t="s">
        <v>220</v>
      </c>
    </row>
    <row r="5" spans="1:1" x14ac:dyDescent="0.25">
      <c r="A5" t="s">
        <v>221</v>
      </c>
    </row>
    <row r="6" spans="1:1" x14ac:dyDescent="0.25">
      <c r="A6" t="s">
        <v>222</v>
      </c>
    </row>
    <row r="7" spans="1:1" x14ac:dyDescent="0.25">
      <c r="A7" t="s">
        <v>223</v>
      </c>
    </row>
    <row r="8" spans="1:1" x14ac:dyDescent="0.25">
      <c r="A8" t="s">
        <v>224</v>
      </c>
    </row>
    <row r="9" spans="1:1" x14ac:dyDescent="0.25">
      <c r="A9" t="s">
        <v>15</v>
      </c>
    </row>
    <row r="10" spans="1:1" x14ac:dyDescent="0.25">
      <c r="A10" t="s">
        <v>225</v>
      </c>
    </row>
    <row r="11" spans="1:1" x14ac:dyDescent="0.25">
      <c r="A11" t="s">
        <v>120</v>
      </c>
    </row>
    <row r="12" spans="1:1" x14ac:dyDescent="0.25">
      <c r="A12" t="s">
        <v>226</v>
      </c>
    </row>
    <row r="13" spans="1:1" x14ac:dyDescent="0.25">
      <c r="A13" t="s">
        <v>227</v>
      </c>
    </row>
    <row r="14" spans="1:1" x14ac:dyDescent="0.25">
      <c r="A14" t="s">
        <v>156</v>
      </c>
    </row>
    <row r="15" spans="1:1" x14ac:dyDescent="0.25">
      <c r="A15" t="s">
        <v>160</v>
      </c>
    </row>
    <row r="16" spans="1:1" x14ac:dyDescent="0.25">
      <c r="A16" t="s">
        <v>165</v>
      </c>
    </row>
    <row r="17" spans="1:1" x14ac:dyDescent="0.25">
      <c r="A17" t="s">
        <v>40</v>
      </c>
    </row>
    <row r="18" spans="1:1" x14ac:dyDescent="0.25">
      <c r="A18" t="s">
        <v>20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557DA-A60B-4172-9313-EDAFAA4B9926}">
  <dimension ref="A1:A6"/>
  <sheetViews>
    <sheetView workbookViewId="0">
      <selection activeCell="A6" sqref="A6"/>
    </sheetView>
  </sheetViews>
  <sheetFormatPr defaultRowHeight="15" x14ac:dyDescent="0.25"/>
  <sheetData>
    <row r="1" spans="1:1" x14ac:dyDescent="0.25">
      <c r="A1" t="s">
        <v>26</v>
      </c>
    </row>
    <row r="2" spans="1:1" x14ac:dyDescent="0.25">
      <c r="A2" t="s">
        <v>21</v>
      </c>
    </row>
    <row r="3" spans="1:1" x14ac:dyDescent="0.25">
      <c r="A3" s="2" t="s">
        <v>33</v>
      </c>
    </row>
    <row r="4" spans="1:1" x14ac:dyDescent="0.25">
      <c r="A4" t="s">
        <v>16</v>
      </c>
    </row>
    <row r="5" spans="1:1" x14ac:dyDescent="0.25">
      <c r="A5" t="s">
        <v>228</v>
      </c>
    </row>
    <row r="6" spans="1:1" x14ac:dyDescent="0.25">
      <c r="A6" t="s">
        <v>229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06247-C02A-4066-9FE2-F331385E6BE6}">
  <dimension ref="A1:M84"/>
  <sheetViews>
    <sheetView workbookViewId="0">
      <selection activeCell="E80" sqref="E80"/>
    </sheetView>
  </sheetViews>
  <sheetFormatPr defaultRowHeight="15" customHeight="1" x14ac:dyDescent="0.25"/>
  <cols>
    <col min="1" max="1" width="5.140625" bestFit="1" customWidth="1"/>
    <col min="2" max="2" width="47.42578125" customWidth="1"/>
    <col min="3" max="3" width="25.28515625" customWidth="1"/>
    <col min="4" max="4" width="13.42578125" customWidth="1"/>
    <col min="5" max="5" width="14.28515625" customWidth="1"/>
    <col min="6" max="6" width="12.42578125" customWidth="1"/>
    <col min="7" max="7" width="68.85546875" bestFit="1" customWidth="1"/>
    <col min="8" max="8" width="23.7109375" customWidth="1"/>
    <col min="9" max="9" width="19.140625" customWidth="1"/>
    <col min="10" max="10" width="21.140625" customWidth="1"/>
    <col min="11" max="11" width="21" customWidth="1"/>
    <col min="12" max="12" width="29" customWidth="1"/>
    <col min="13" max="13" width="24.71093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E2" t="s">
        <v>16</v>
      </c>
      <c r="F2" t="s">
        <v>17</v>
      </c>
      <c r="K2" t="str">
        <f t="shared" ref="K2:K67" si="0">IF(I2&lt;&gt;"",HYPERLINK("https://dev.azure.com/infomedics/TIM/_workitems/edit/"&amp;I2,"Open DEV "&amp;I2),"")</f>
        <v/>
      </c>
      <c r="L2" t="str">
        <f t="shared" ref="L2:L61" si="1">IF(J2&lt;&gt;"",HYPERLINK("https://dev.azure.com/infomedics/TIM/_workitems/edit/"&amp;J2,"Open INT "&amp;J2),"")</f>
        <v/>
      </c>
    </row>
    <row r="3" spans="1:13" x14ac:dyDescent="0.25">
      <c r="A3" t="s">
        <v>18</v>
      </c>
      <c r="B3" t="s">
        <v>23</v>
      </c>
      <c r="D3" t="s">
        <v>20</v>
      </c>
      <c r="E3" t="s">
        <v>21</v>
      </c>
      <c r="F3" t="s">
        <v>17</v>
      </c>
      <c r="K3" t="str">
        <f t="shared" si="0"/>
        <v/>
      </c>
      <c r="L3" t="str">
        <f t="shared" si="1"/>
        <v/>
      </c>
    </row>
    <row r="4" spans="1:13" x14ac:dyDescent="0.25">
      <c r="A4" t="s">
        <v>22</v>
      </c>
      <c r="B4" t="s">
        <v>25</v>
      </c>
      <c r="D4" t="s">
        <v>20</v>
      </c>
      <c r="E4" t="s">
        <v>26</v>
      </c>
      <c r="K4" s="3" t="str">
        <f>IF(I4&lt;&gt;"",HYPERLINK("https://dev.azure.com/infomedics/TIM/_workitems/edit/"&amp;I4,"Open DEV "&amp;I4),"")</f>
        <v/>
      </c>
      <c r="L4" s="3" t="str">
        <f>IF(J4&lt;&gt;"",HYPERLINK("https://dev.azure.com/infomedics/TIM/_workitems/edit/"&amp;J4,"Open INT "&amp;J4),"")</f>
        <v/>
      </c>
    </row>
    <row r="5" spans="1:13" x14ac:dyDescent="0.25">
      <c r="A5" t="s">
        <v>24</v>
      </c>
      <c r="B5" t="s">
        <v>28</v>
      </c>
      <c r="E5" t="s">
        <v>26</v>
      </c>
      <c r="F5" t="s">
        <v>17</v>
      </c>
      <c r="K5" t="str">
        <f t="shared" si="0"/>
        <v/>
      </c>
      <c r="L5" t="str">
        <f t="shared" si="1"/>
        <v/>
      </c>
    </row>
    <row r="6" spans="1:13" x14ac:dyDescent="0.25">
      <c r="A6" t="s">
        <v>27</v>
      </c>
      <c r="B6" t="s">
        <v>30</v>
      </c>
      <c r="D6" t="s">
        <v>20</v>
      </c>
      <c r="E6" t="s">
        <v>26</v>
      </c>
      <c r="F6" t="s">
        <v>17</v>
      </c>
      <c r="K6" s="3" t="str">
        <f>IF(I6&lt;&gt;"",HYPERLINK("https://dev.azure.com/infomedics/TIM/_workitems/edit/"&amp;I6,"Open DEV "&amp;I6),"")</f>
        <v/>
      </c>
      <c r="L6" s="3" t="str">
        <f>IF(J6&lt;&gt;"",HYPERLINK("https://dev.azure.com/infomedics/TIM/_workitems/edit/"&amp;J6,"Open INT "&amp;J6),"")</f>
        <v/>
      </c>
    </row>
    <row r="7" spans="1:13" x14ac:dyDescent="0.25">
      <c r="A7" t="s">
        <v>29</v>
      </c>
      <c r="B7" t="s">
        <v>32</v>
      </c>
      <c r="E7" t="s">
        <v>33</v>
      </c>
      <c r="F7" t="s">
        <v>17</v>
      </c>
      <c r="K7" t="str">
        <f t="shared" si="0"/>
        <v/>
      </c>
      <c r="L7" t="str">
        <f t="shared" si="1"/>
        <v/>
      </c>
    </row>
    <row r="8" spans="1:13" x14ac:dyDescent="0.25">
      <c r="A8" t="s">
        <v>31</v>
      </c>
      <c r="B8" t="s">
        <v>35</v>
      </c>
      <c r="E8" t="s">
        <v>26</v>
      </c>
      <c r="F8" t="s">
        <v>17</v>
      </c>
      <c r="K8" t="str">
        <f t="shared" si="0"/>
        <v/>
      </c>
      <c r="L8" t="str">
        <f t="shared" si="1"/>
        <v/>
      </c>
    </row>
    <row r="9" spans="1:13" x14ac:dyDescent="0.25">
      <c r="A9" t="s">
        <v>34</v>
      </c>
      <c r="B9" t="s">
        <v>37</v>
      </c>
      <c r="E9" t="s">
        <v>16</v>
      </c>
      <c r="F9" t="s">
        <v>17</v>
      </c>
      <c r="K9" t="str">
        <f t="shared" si="0"/>
        <v/>
      </c>
      <c r="L9" t="str">
        <f t="shared" si="1"/>
        <v/>
      </c>
    </row>
    <row r="10" spans="1:13" x14ac:dyDescent="0.25">
      <c r="A10" t="s">
        <v>36</v>
      </c>
      <c r="B10" t="s">
        <v>39</v>
      </c>
      <c r="D10" t="s">
        <v>40</v>
      </c>
      <c r="E10" t="s">
        <v>21</v>
      </c>
      <c r="F10" t="s">
        <v>17</v>
      </c>
      <c r="G10" s="3" t="s">
        <v>41</v>
      </c>
      <c r="K10" t="str">
        <f t="shared" si="0"/>
        <v/>
      </c>
      <c r="L10" t="str">
        <f t="shared" si="1"/>
        <v/>
      </c>
    </row>
    <row r="11" spans="1:13" x14ac:dyDescent="0.25">
      <c r="A11" t="s">
        <v>38</v>
      </c>
      <c r="B11" t="s">
        <v>43</v>
      </c>
      <c r="D11" t="s">
        <v>40</v>
      </c>
      <c r="E11" t="s">
        <v>21</v>
      </c>
      <c r="F11" t="s">
        <v>17</v>
      </c>
      <c r="G11" s="3" t="s">
        <v>41</v>
      </c>
      <c r="K11" t="str">
        <f t="shared" si="0"/>
        <v/>
      </c>
      <c r="L11" t="str">
        <f t="shared" si="1"/>
        <v/>
      </c>
    </row>
    <row r="12" spans="1:13" x14ac:dyDescent="0.25">
      <c r="A12" t="s">
        <v>42</v>
      </c>
      <c r="B12" t="s">
        <v>45</v>
      </c>
      <c r="E12" t="s">
        <v>26</v>
      </c>
      <c r="F12" t="s">
        <v>17</v>
      </c>
      <c r="K12" t="str">
        <f t="shared" si="0"/>
        <v/>
      </c>
      <c r="L12" t="str">
        <f t="shared" si="1"/>
        <v/>
      </c>
    </row>
    <row r="13" spans="1:13" x14ac:dyDescent="0.25">
      <c r="A13" t="s">
        <v>44</v>
      </c>
      <c r="B13" t="s">
        <v>47</v>
      </c>
      <c r="E13" t="s">
        <v>26</v>
      </c>
      <c r="F13" t="s">
        <v>17</v>
      </c>
      <c r="K13" t="str">
        <f t="shared" si="0"/>
        <v/>
      </c>
      <c r="L13" t="str">
        <f t="shared" si="1"/>
        <v/>
      </c>
    </row>
    <row r="14" spans="1:13" x14ac:dyDescent="0.25">
      <c r="A14" t="s">
        <v>46</v>
      </c>
      <c r="B14" t="s">
        <v>49</v>
      </c>
      <c r="E14" t="s">
        <v>26</v>
      </c>
      <c r="F14" t="s">
        <v>17</v>
      </c>
      <c r="K14" t="str">
        <f t="shared" si="0"/>
        <v/>
      </c>
      <c r="L14" t="str">
        <f t="shared" si="1"/>
        <v/>
      </c>
    </row>
    <row r="15" spans="1:13" x14ac:dyDescent="0.25">
      <c r="A15" t="s">
        <v>48</v>
      </c>
      <c r="B15" t="s">
        <v>51</v>
      </c>
      <c r="D15" t="s">
        <v>40</v>
      </c>
      <c r="E15" t="s">
        <v>21</v>
      </c>
      <c r="F15" t="s">
        <v>17</v>
      </c>
      <c r="K15" t="str">
        <f t="shared" si="0"/>
        <v/>
      </c>
      <c r="L15" t="str">
        <f t="shared" si="1"/>
        <v/>
      </c>
    </row>
    <row r="16" spans="1:13" x14ac:dyDescent="0.25">
      <c r="A16" t="s">
        <v>50</v>
      </c>
      <c r="B16" t="s">
        <v>53</v>
      </c>
      <c r="E16" t="s">
        <v>26</v>
      </c>
      <c r="F16" t="s">
        <v>17</v>
      </c>
      <c r="K16" t="str">
        <f t="shared" si="0"/>
        <v/>
      </c>
      <c r="L16" t="str">
        <f t="shared" si="1"/>
        <v/>
      </c>
    </row>
    <row r="17" spans="1:12" x14ac:dyDescent="0.25">
      <c r="A17" t="s">
        <v>52</v>
      </c>
      <c r="B17" t="s">
        <v>55</v>
      </c>
      <c r="E17" t="s">
        <v>26</v>
      </c>
      <c r="F17" t="s">
        <v>17</v>
      </c>
      <c r="K17" t="str">
        <f t="shared" si="0"/>
        <v/>
      </c>
      <c r="L17" t="str">
        <f t="shared" si="1"/>
        <v/>
      </c>
    </row>
    <row r="18" spans="1:12" x14ac:dyDescent="0.25">
      <c r="A18" t="s">
        <v>54</v>
      </c>
      <c r="B18" t="s">
        <v>57</v>
      </c>
      <c r="D18" t="s">
        <v>15</v>
      </c>
      <c r="E18" t="s">
        <v>16</v>
      </c>
      <c r="F18" t="s">
        <v>17</v>
      </c>
      <c r="K18" t="str">
        <f t="shared" si="0"/>
        <v/>
      </c>
      <c r="L18" t="str">
        <f t="shared" si="1"/>
        <v/>
      </c>
    </row>
    <row r="19" spans="1:12" x14ac:dyDescent="0.25">
      <c r="A19" t="s">
        <v>56</v>
      </c>
      <c r="B19" t="s">
        <v>59</v>
      </c>
      <c r="D19" t="s">
        <v>15</v>
      </c>
      <c r="E19" t="s">
        <v>16</v>
      </c>
      <c r="F19" t="s">
        <v>17</v>
      </c>
      <c r="K19" t="str">
        <f t="shared" si="0"/>
        <v/>
      </c>
      <c r="L19" t="str">
        <f t="shared" si="1"/>
        <v/>
      </c>
    </row>
    <row r="20" spans="1:12" x14ac:dyDescent="0.25">
      <c r="A20" t="s">
        <v>58</v>
      </c>
      <c r="B20" t="s">
        <v>61</v>
      </c>
      <c r="D20" t="s">
        <v>15</v>
      </c>
      <c r="E20" t="s">
        <v>16</v>
      </c>
      <c r="F20" t="s">
        <v>17</v>
      </c>
      <c r="K20" t="str">
        <f t="shared" si="0"/>
        <v/>
      </c>
      <c r="L20" t="str">
        <f t="shared" si="1"/>
        <v/>
      </c>
    </row>
    <row r="21" spans="1:12" x14ac:dyDescent="0.25">
      <c r="A21" t="s">
        <v>60</v>
      </c>
      <c r="B21" t="s">
        <v>63</v>
      </c>
      <c r="D21" t="s">
        <v>15</v>
      </c>
      <c r="E21" t="s">
        <v>21</v>
      </c>
      <c r="F21" t="s">
        <v>17</v>
      </c>
      <c r="K21" t="str">
        <f t="shared" si="0"/>
        <v/>
      </c>
      <c r="L21" t="str">
        <f t="shared" si="1"/>
        <v/>
      </c>
    </row>
    <row r="22" spans="1:12" x14ac:dyDescent="0.25">
      <c r="A22" t="s">
        <v>62</v>
      </c>
      <c r="B22" t="s">
        <v>65</v>
      </c>
      <c r="D22" t="s">
        <v>15</v>
      </c>
      <c r="E22" t="s">
        <v>21</v>
      </c>
      <c r="F22" t="s">
        <v>17</v>
      </c>
      <c r="K22" t="str">
        <f t="shared" si="0"/>
        <v/>
      </c>
      <c r="L22" t="str">
        <f t="shared" si="1"/>
        <v/>
      </c>
    </row>
    <row r="23" spans="1:12" x14ac:dyDescent="0.25">
      <c r="A23" t="s">
        <v>64</v>
      </c>
      <c r="B23" t="s">
        <v>67</v>
      </c>
      <c r="D23" t="s">
        <v>15</v>
      </c>
      <c r="E23" t="s">
        <v>21</v>
      </c>
      <c r="F23" t="s">
        <v>17</v>
      </c>
      <c r="K23" t="str">
        <f t="shared" si="0"/>
        <v/>
      </c>
      <c r="L23" t="str">
        <f t="shared" si="1"/>
        <v/>
      </c>
    </row>
    <row r="24" spans="1:12" x14ac:dyDescent="0.25">
      <c r="A24" t="s">
        <v>66</v>
      </c>
      <c r="B24" t="s">
        <v>69</v>
      </c>
      <c r="E24" t="s">
        <v>26</v>
      </c>
      <c r="F24" t="s">
        <v>17</v>
      </c>
      <c r="K24" t="str">
        <f t="shared" si="0"/>
        <v/>
      </c>
      <c r="L24" t="str">
        <f t="shared" si="1"/>
        <v/>
      </c>
    </row>
    <row r="25" spans="1:12" x14ac:dyDescent="0.25">
      <c r="A25" t="s">
        <v>68</v>
      </c>
      <c r="B25" t="s">
        <v>71</v>
      </c>
      <c r="D25" t="s">
        <v>15</v>
      </c>
      <c r="E25" t="s">
        <v>26</v>
      </c>
      <c r="F25" t="s">
        <v>17</v>
      </c>
      <c r="K25" t="str">
        <f t="shared" si="0"/>
        <v/>
      </c>
      <c r="L25" t="str">
        <f t="shared" si="1"/>
        <v/>
      </c>
    </row>
    <row r="26" spans="1:12" x14ac:dyDescent="0.25">
      <c r="A26" t="s">
        <v>70</v>
      </c>
      <c r="B26" t="s">
        <v>73</v>
      </c>
      <c r="E26" t="s">
        <v>16</v>
      </c>
      <c r="F26" t="s">
        <v>17</v>
      </c>
      <c r="K26" t="str">
        <f t="shared" si="0"/>
        <v/>
      </c>
      <c r="L26" t="str">
        <f t="shared" si="1"/>
        <v/>
      </c>
    </row>
    <row r="27" spans="1:12" x14ac:dyDescent="0.25">
      <c r="A27" t="s">
        <v>72</v>
      </c>
      <c r="B27" t="s">
        <v>75</v>
      </c>
      <c r="E27" t="s">
        <v>16</v>
      </c>
      <c r="F27" t="s">
        <v>17</v>
      </c>
      <c r="K27" t="str">
        <f t="shared" si="0"/>
        <v/>
      </c>
      <c r="L27" t="str">
        <f t="shared" si="1"/>
        <v/>
      </c>
    </row>
    <row r="28" spans="1:12" x14ac:dyDescent="0.25">
      <c r="A28" t="s">
        <v>74</v>
      </c>
      <c r="B28" t="s">
        <v>77</v>
      </c>
      <c r="E28" t="s">
        <v>16</v>
      </c>
      <c r="F28" t="s">
        <v>17</v>
      </c>
      <c r="K28" t="str">
        <f t="shared" si="0"/>
        <v/>
      </c>
      <c r="L28" t="str">
        <f t="shared" si="1"/>
        <v/>
      </c>
    </row>
    <row r="29" spans="1:12" x14ac:dyDescent="0.25">
      <c r="A29" t="s">
        <v>76</v>
      </c>
      <c r="B29" t="s">
        <v>79</v>
      </c>
      <c r="E29" t="s">
        <v>26</v>
      </c>
      <c r="F29" t="s">
        <v>17</v>
      </c>
      <c r="K29" t="str">
        <f t="shared" si="0"/>
        <v/>
      </c>
      <c r="L29" t="str">
        <f t="shared" si="1"/>
        <v/>
      </c>
    </row>
    <row r="30" spans="1:12" x14ac:dyDescent="0.25">
      <c r="A30" t="s">
        <v>78</v>
      </c>
      <c r="B30" t="s">
        <v>81</v>
      </c>
      <c r="E30" t="s">
        <v>26</v>
      </c>
      <c r="F30" t="s">
        <v>17</v>
      </c>
      <c r="K30" t="str">
        <f t="shared" si="0"/>
        <v/>
      </c>
      <c r="L30" t="str">
        <f t="shared" si="1"/>
        <v/>
      </c>
    </row>
    <row r="31" spans="1:12" x14ac:dyDescent="0.25">
      <c r="A31" t="s">
        <v>80</v>
      </c>
      <c r="B31" t="s">
        <v>83</v>
      </c>
      <c r="E31" t="s">
        <v>16</v>
      </c>
      <c r="F31" t="s">
        <v>17</v>
      </c>
      <c r="K31" t="str">
        <f t="shared" si="0"/>
        <v/>
      </c>
      <c r="L31" t="str">
        <f t="shared" si="1"/>
        <v/>
      </c>
    </row>
    <row r="32" spans="1:12" x14ac:dyDescent="0.25">
      <c r="A32" t="s">
        <v>82</v>
      </c>
      <c r="B32" t="s">
        <v>85</v>
      </c>
      <c r="E32" t="s">
        <v>16</v>
      </c>
      <c r="F32" t="s">
        <v>17</v>
      </c>
      <c r="K32" t="str">
        <f t="shared" si="0"/>
        <v/>
      </c>
      <c r="L32" t="str">
        <f t="shared" si="1"/>
        <v/>
      </c>
    </row>
    <row r="33" spans="1:12" x14ac:dyDescent="0.25">
      <c r="A33" t="s">
        <v>84</v>
      </c>
      <c r="B33" t="s">
        <v>87</v>
      </c>
      <c r="E33" t="s">
        <v>26</v>
      </c>
      <c r="F33" t="s">
        <v>17</v>
      </c>
      <c r="K33" t="str">
        <f t="shared" si="0"/>
        <v/>
      </c>
      <c r="L33" t="str">
        <f t="shared" si="1"/>
        <v/>
      </c>
    </row>
    <row r="34" spans="1:12" x14ac:dyDescent="0.25">
      <c r="A34" t="s">
        <v>86</v>
      </c>
      <c r="B34" t="s">
        <v>89</v>
      </c>
      <c r="E34" t="s">
        <v>16</v>
      </c>
      <c r="F34" t="s">
        <v>17</v>
      </c>
      <c r="K34" t="str">
        <f t="shared" si="0"/>
        <v/>
      </c>
      <c r="L34" t="str">
        <f t="shared" si="1"/>
        <v/>
      </c>
    </row>
    <row r="35" spans="1:12" x14ac:dyDescent="0.25">
      <c r="A35" t="s">
        <v>88</v>
      </c>
      <c r="B35" t="s">
        <v>91</v>
      </c>
      <c r="E35" t="s">
        <v>16</v>
      </c>
      <c r="F35" t="s">
        <v>17</v>
      </c>
      <c r="K35" t="str">
        <f t="shared" si="0"/>
        <v/>
      </c>
      <c r="L35" t="str">
        <f t="shared" si="1"/>
        <v/>
      </c>
    </row>
    <row r="36" spans="1:12" x14ac:dyDescent="0.25">
      <c r="A36" t="s">
        <v>90</v>
      </c>
      <c r="B36" t="s">
        <v>93</v>
      </c>
      <c r="E36" t="s">
        <v>16</v>
      </c>
      <c r="F36" t="s">
        <v>17</v>
      </c>
      <c r="K36" t="str">
        <f t="shared" si="0"/>
        <v/>
      </c>
      <c r="L36" t="str">
        <f t="shared" si="1"/>
        <v/>
      </c>
    </row>
    <row r="37" spans="1:12" x14ac:dyDescent="0.25">
      <c r="A37" t="s">
        <v>92</v>
      </c>
      <c r="B37" t="s">
        <v>95</v>
      </c>
      <c r="E37" t="s">
        <v>16</v>
      </c>
      <c r="F37" t="s">
        <v>17</v>
      </c>
      <c r="K37" t="str">
        <f t="shared" si="0"/>
        <v/>
      </c>
      <c r="L37" t="str">
        <f t="shared" si="1"/>
        <v/>
      </c>
    </row>
    <row r="38" spans="1:12" x14ac:dyDescent="0.25">
      <c r="A38" t="s">
        <v>94</v>
      </c>
      <c r="B38" t="s">
        <v>97</v>
      </c>
      <c r="E38" t="s">
        <v>16</v>
      </c>
      <c r="F38" t="s">
        <v>17</v>
      </c>
      <c r="K38" t="str">
        <f t="shared" si="0"/>
        <v/>
      </c>
      <c r="L38" t="str">
        <f t="shared" si="1"/>
        <v/>
      </c>
    </row>
    <row r="39" spans="1:12" x14ac:dyDescent="0.25">
      <c r="A39" t="s">
        <v>96</v>
      </c>
      <c r="B39" t="s">
        <v>99</v>
      </c>
      <c r="E39" t="s">
        <v>16</v>
      </c>
      <c r="F39" t="s">
        <v>17</v>
      </c>
      <c r="K39" t="str">
        <f t="shared" si="0"/>
        <v/>
      </c>
      <c r="L39" t="str">
        <f t="shared" si="1"/>
        <v/>
      </c>
    </row>
    <row r="40" spans="1:12" x14ac:dyDescent="0.25">
      <c r="A40" t="s">
        <v>98</v>
      </c>
      <c r="B40" t="s">
        <v>101</v>
      </c>
      <c r="E40" t="s">
        <v>16</v>
      </c>
      <c r="F40" t="s">
        <v>17</v>
      </c>
      <c r="K40" t="str">
        <f t="shared" si="0"/>
        <v/>
      </c>
      <c r="L40" t="str">
        <f t="shared" si="1"/>
        <v/>
      </c>
    </row>
    <row r="41" spans="1:12" x14ac:dyDescent="0.25">
      <c r="A41" t="s">
        <v>100</v>
      </c>
      <c r="B41" t="s">
        <v>103</v>
      </c>
      <c r="E41" t="s">
        <v>16</v>
      </c>
      <c r="F41" t="s">
        <v>17</v>
      </c>
      <c r="K41" t="str">
        <f t="shared" si="0"/>
        <v/>
      </c>
      <c r="L41" t="str">
        <f t="shared" si="1"/>
        <v/>
      </c>
    </row>
    <row r="42" spans="1:12" x14ac:dyDescent="0.25">
      <c r="A42" t="s">
        <v>102</v>
      </c>
      <c r="B42" t="s">
        <v>105</v>
      </c>
      <c r="E42" t="s">
        <v>16</v>
      </c>
      <c r="F42" t="s">
        <v>17</v>
      </c>
      <c r="K42" t="str">
        <f t="shared" si="0"/>
        <v/>
      </c>
      <c r="L42" t="str">
        <f t="shared" si="1"/>
        <v/>
      </c>
    </row>
    <row r="43" spans="1:12" x14ac:dyDescent="0.25">
      <c r="A43" t="s">
        <v>104</v>
      </c>
      <c r="B43" t="s">
        <v>107</v>
      </c>
      <c r="E43" t="s">
        <v>16</v>
      </c>
      <c r="F43" t="s">
        <v>17</v>
      </c>
      <c r="K43" t="str">
        <f t="shared" si="0"/>
        <v/>
      </c>
      <c r="L43" t="str">
        <f t="shared" si="1"/>
        <v/>
      </c>
    </row>
    <row r="44" spans="1:12" x14ac:dyDescent="0.25">
      <c r="A44" t="s">
        <v>106</v>
      </c>
      <c r="B44" t="s">
        <v>109</v>
      </c>
      <c r="E44" t="s">
        <v>26</v>
      </c>
      <c r="F44" t="s">
        <v>17</v>
      </c>
      <c r="K44" t="str">
        <f t="shared" si="0"/>
        <v/>
      </c>
      <c r="L44" t="str">
        <f t="shared" si="1"/>
        <v/>
      </c>
    </row>
    <row r="45" spans="1:12" x14ac:dyDescent="0.25">
      <c r="A45" t="s">
        <v>108</v>
      </c>
      <c r="B45" t="s">
        <v>111</v>
      </c>
      <c r="E45" t="s">
        <v>16</v>
      </c>
      <c r="F45" t="s">
        <v>17</v>
      </c>
      <c r="K45" t="str">
        <f t="shared" si="0"/>
        <v/>
      </c>
      <c r="L45" t="str">
        <f t="shared" si="1"/>
        <v/>
      </c>
    </row>
    <row r="46" spans="1:12" x14ac:dyDescent="0.25">
      <c r="A46" t="s">
        <v>110</v>
      </c>
      <c r="B46" t="s">
        <v>113</v>
      </c>
      <c r="E46" t="s">
        <v>16</v>
      </c>
      <c r="F46" t="s">
        <v>17</v>
      </c>
      <c r="K46" t="str">
        <f t="shared" si="0"/>
        <v/>
      </c>
      <c r="L46" t="str">
        <f t="shared" si="1"/>
        <v/>
      </c>
    </row>
    <row r="47" spans="1:12" x14ac:dyDescent="0.25">
      <c r="A47" t="s">
        <v>112</v>
      </c>
      <c r="B47" t="s">
        <v>230</v>
      </c>
      <c r="E47" t="s">
        <v>26</v>
      </c>
      <c r="F47" t="s">
        <v>17</v>
      </c>
      <c r="K47" t="str">
        <f t="shared" si="0"/>
        <v/>
      </c>
      <c r="L47" t="str">
        <f t="shared" si="1"/>
        <v/>
      </c>
    </row>
    <row r="48" spans="1:12" x14ac:dyDescent="0.25">
      <c r="A48" t="s">
        <v>114</v>
      </c>
      <c r="B48" t="s">
        <v>117</v>
      </c>
      <c r="E48" t="s">
        <v>26</v>
      </c>
      <c r="F48" t="s">
        <v>17</v>
      </c>
      <c r="K48" t="str">
        <f t="shared" si="0"/>
        <v/>
      </c>
      <c r="L48" t="str">
        <f t="shared" si="1"/>
        <v/>
      </c>
    </row>
    <row r="49" spans="1:12" x14ac:dyDescent="0.25">
      <c r="A49" t="s">
        <v>116</v>
      </c>
      <c r="B49" t="s">
        <v>119</v>
      </c>
      <c r="D49" t="s">
        <v>120</v>
      </c>
      <c r="E49" t="s">
        <v>16</v>
      </c>
      <c r="F49" t="s">
        <v>17</v>
      </c>
      <c r="K49" t="str">
        <f t="shared" si="0"/>
        <v/>
      </c>
      <c r="L49" t="str">
        <f t="shared" si="1"/>
        <v/>
      </c>
    </row>
    <row r="50" spans="1:12" x14ac:dyDescent="0.25">
      <c r="A50" t="s">
        <v>118</v>
      </c>
      <c r="B50" t="s">
        <v>122</v>
      </c>
      <c r="E50" t="s">
        <v>26</v>
      </c>
      <c r="F50" t="s">
        <v>17</v>
      </c>
      <c r="K50" t="str">
        <f t="shared" si="0"/>
        <v/>
      </c>
      <c r="L50" t="str">
        <f t="shared" si="1"/>
        <v/>
      </c>
    </row>
    <row r="51" spans="1:12" x14ac:dyDescent="0.25">
      <c r="A51" t="s">
        <v>121</v>
      </c>
      <c r="B51" t="s">
        <v>124</v>
      </c>
      <c r="D51" t="s">
        <v>120</v>
      </c>
      <c r="E51" t="s">
        <v>16</v>
      </c>
      <c r="F51" t="s">
        <v>17</v>
      </c>
      <c r="K51" t="str">
        <f t="shared" si="0"/>
        <v/>
      </c>
      <c r="L51" t="str">
        <f t="shared" si="1"/>
        <v/>
      </c>
    </row>
    <row r="52" spans="1:12" x14ac:dyDescent="0.25">
      <c r="A52" t="s">
        <v>125</v>
      </c>
      <c r="B52" t="s">
        <v>126</v>
      </c>
      <c r="E52" t="s">
        <v>26</v>
      </c>
      <c r="F52" t="s">
        <v>17</v>
      </c>
      <c r="K52" t="str">
        <f t="shared" si="0"/>
        <v/>
      </c>
      <c r="L52" t="str">
        <f t="shared" si="1"/>
        <v/>
      </c>
    </row>
    <row r="53" spans="1:12" x14ac:dyDescent="0.25">
      <c r="A53" t="s">
        <v>127</v>
      </c>
      <c r="B53" t="s">
        <v>128</v>
      </c>
      <c r="E53" t="s">
        <v>26</v>
      </c>
      <c r="F53" t="s">
        <v>17</v>
      </c>
      <c r="K53" t="str">
        <f t="shared" si="0"/>
        <v/>
      </c>
      <c r="L53" t="str">
        <f t="shared" si="1"/>
        <v/>
      </c>
    </row>
    <row r="54" spans="1:12" x14ac:dyDescent="0.25">
      <c r="A54" t="s">
        <v>129</v>
      </c>
      <c r="B54" t="s">
        <v>130</v>
      </c>
      <c r="E54" t="s">
        <v>26</v>
      </c>
      <c r="F54" t="s">
        <v>17</v>
      </c>
      <c r="K54" t="str">
        <f t="shared" si="0"/>
        <v/>
      </c>
      <c r="L54" t="str">
        <f t="shared" si="1"/>
        <v/>
      </c>
    </row>
    <row r="55" spans="1:12" x14ac:dyDescent="0.25">
      <c r="A55" t="s">
        <v>131</v>
      </c>
      <c r="B55" t="s">
        <v>132</v>
      </c>
      <c r="E55" t="s">
        <v>26</v>
      </c>
      <c r="F55" t="s">
        <v>17</v>
      </c>
      <c r="K55" t="str">
        <f t="shared" si="0"/>
        <v/>
      </c>
      <c r="L55" t="str">
        <f t="shared" si="1"/>
        <v/>
      </c>
    </row>
    <row r="56" spans="1:12" x14ac:dyDescent="0.25">
      <c r="A56" t="s">
        <v>133</v>
      </c>
      <c r="B56" t="s">
        <v>134</v>
      </c>
      <c r="E56" t="s">
        <v>26</v>
      </c>
      <c r="F56" t="s">
        <v>17</v>
      </c>
      <c r="K56" t="str">
        <f t="shared" si="0"/>
        <v/>
      </c>
      <c r="L56" t="str">
        <f t="shared" si="1"/>
        <v/>
      </c>
    </row>
    <row r="57" spans="1:12" x14ac:dyDescent="0.25">
      <c r="A57" t="s">
        <v>135</v>
      </c>
      <c r="B57" t="s">
        <v>136</v>
      </c>
      <c r="E57" t="s">
        <v>26</v>
      </c>
      <c r="F57" t="s">
        <v>17</v>
      </c>
      <c r="K57" t="str">
        <f t="shared" si="0"/>
        <v/>
      </c>
      <c r="L57" t="str">
        <f t="shared" si="1"/>
        <v/>
      </c>
    </row>
    <row r="58" spans="1:12" x14ac:dyDescent="0.25">
      <c r="A58" t="s">
        <v>137</v>
      </c>
      <c r="B58" t="s">
        <v>138</v>
      </c>
      <c r="E58" t="s">
        <v>26</v>
      </c>
      <c r="F58" t="s">
        <v>17</v>
      </c>
      <c r="K58" t="str">
        <f t="shared" si="0"/>
        <v/>
      </c>
      <c r="L58" t="str">
        <f t="shared" si="1"/>
        <v/>
      </c>
    </row>
    <row r="59" spans="1:12" x14ac:dyDescent="0.25">
      <c r="A59" t="s">
        <v>139</v>
      </c>
      <c r="B59" t="s">
        <v>140</v>
      </c>
      <c r="E59" t="s">
        <v>21</v>
      </c>
      <c r="F59" t="s">
        <v>17</v>
      </c>
      <c r="K59" t="str">
        <f t="shared" si="0"/>
        <v/>
      </c>
      <c r="L59" t="str">
        <f t="shared" si="1"/>
        <v/>
      </c>
    </row>
    <row r="60" spans="1:12" x14ac:dyDescent="0.25">
      <c r="A60" t="s">
        <v>141</v>
      </c>
      <c r="B60" t="s">
        <v>142</v>
      </c>
      <c r="D60" t="s">
        <v>15</v>
      </c>
      <c r="E60" t="s">
        <v>21</v>
      </c>
      <c r="F60" t="s">
        <v>17</v>
      </c>
      <c r="K60" t="str">
        <f t="shared" si="0"/>
        <v/>
      </c>
      <c r="L60" t="str">
        <f t="shared" si="1"/>
        <v/>
      </c>
    </row>
    <row r="61" spans="1:12" x14ac:dyDescent="0.25">
      <c r="A61" t="s">
        <v>143</v>
      </c>
      <c r="B61" t="s">
        <v>231</v>
      </c>
      <c r="E61" t="s">
        <v>26</v>
      </c>
      <c r="F61" t="s">
        <v>17</v>
      </c>
      <c r="K61" t="str">
        <f t="shared" si="0"/>
        <v/>
      </c>
      <c r="L61" t="str">
        <f t="shared" si="1"/>
        <v/>
      </c>
    </row>
    <row r="62" spans="1:12" x14ac:dyDescent="0.25">
      <c r="A62" t="s">
        <v>121</v>
      </c>
      <c r="B62" t="s">
        <v>152</v>
      </c>
      <c r="E62" t="s">
        <v>26</v>
      </c>
      <c r="F62" t="s">
        <v>153</v>
      </c>
      <c r="K62" s="3" t="str">
        <f t="shared" si="0"/>
        <v/>
      </c>
      <c r="L62" s="3" t="str">
        <f>IF(J62&lt;&gt;"",HYPERLINK("https://dev.azure.com/infomedics/TIM/_workitems/edit/"&amp;J62,"Open INT "&amp;J62),"")</f>
        <v/>
      </c>
    </row>
    <row r="63" spans="1:12" x14ac:dyDescent="0.25">
      <c r="A63" t="s">
        <v>121</v>
      </c>
      <c r="B63" t="s">
        <v>155</v>
      </c>
      <c r="D63" t="s">
        <v>156</v>
      </c>
      <c r="E63" t="s">
        <v>26</v>
      </c>
      <c r="F63" t="s">
        <v>153</v>
      </c>
      <c r="G63" t="s">
        <v>157</v>
      </c>
      <c r="K63" s="3" t="str">
        <f t="shared" si="0"/>
        <v/>
      </c>
      <c r="L63" s="3" t="str">
        <f t="shared" ref="L63:L84" si="2">IF(J63&lt;&gt;"",HYPERLINK("https://dev.azure.com/infomedics/TIM/_workitems/edit/"&amp;J63,"Open INT "&amp;J63),"")</f>
        <v/>
      </c>
    </row>
    <row r="64" spans="1:12" x14ac:dyDescent="0.25">
      <c r="A64" t="s">
        <v>151</v>
      </c>
      <c r="B64" t="s">
        <v>159</v>
      </c>
      <c r="D64" t="s">
        <v>160</v>
      </c>
      <c r="E64" t="s">
        <v>21</v>
      </c>
      <c r="K64" s="3" t="str">
        <f t="shared" si="0"/>
        <v/>
      </c>
      <c r="L64" s="3" t="str">
        <f t="shared" si="2"/>
        <v/>
      </c>
    </row>
    <row r="65" spans="1:12" x14ac:dyDescent="0.25">
      <c r="A65" t="s">
        <v>154</v>
      </c>
      <c r="B65" t="s">
        <v>162</v>
      </c>
      <c r="D65" t="s">
        <v>160</v>
      </c>
      <c r="E65" t="s">
        <v>26</v>
      </c>
      <c r="K65" s="3" t="str">
        <f t="shared" si="0"/>
        <v/>
      </c>
      <c r="L65" s="3" t="str">
        <f t="shared" si="2"/>
        <v/>
      </c>
    </row>
    <row r="66" spans="1:12" x14ac:dyDescent="0.25">
      <c r="A66" t="s">
        <v>158</v>
      </c>
      <c r="B66" t="s">
        <v>164</v>
      </c>
      <c r="D66" t="s">
        <v>165</v>
      </c>
      <c r="E66" t="s">
        <v>21</v>
      </c>
      <c r="K66" s="3" t="str">
        <f t="shared" si="0"/>
        <v/>
      </c>
      <c r="L66" s="3" t="str">
        <f t="shared" si="2"/>
        <v/>
      </c>
    </row>
    <row r="67" spans="1:12" x14ac:dyDescent="0.25">
      <c r="A67" t="s">
        <v>161</v>
      </c>
      <c r="B67" s="4" t="s">
        <v>167</v>
      </c>
      <c r="D67" t="s">
        <v>160</v>
      </c>
      <c r="E67" t="s">
        <v>26</v>
      </c>
      <c r="K67" s="3" t="str">
        <f t="shared" si="0"/>
        <v/>
      </c>
      <c r="L67" s="3" t="str">
        <f t="shared" si="2"/>
        <v/>
      </c>
    </row>
    <row r="68" spans="1:12" x14ac:dyDescent="0.25">
      <c r="A68" t="s">
        <v>163</v>
      </c>
      <c r="B68" t="s">
        <v>169</v>
      </c>
      <c r="D68" t="s">
        <v>20</v>
      </c>
      <c r="E68" t="s">
        <v>16</v>
      </c>
      <c r="F68" t="s">
        <v>17</v>
      </c>
      <c r="K68" s="3" t="str">
        <f t="shared" ref="K68:K84" si="3">IF(I68&lt;&gt;"",HYPERLINK("https://dev.azure.com/infomedics/TIM/_workitems/edit/"&amp;I68,"Open DEV "&amp;I68),"")</f>
        <v/>
      </c>
      <c r="L68" s="3" t="str">
        <f t="shared" si="2"/>
        <v/>
      </c>
    </row>
    <row r="69" spans="1:12" ht="15" customHeight="1" x14ac:dyDescent="0.25">
      <c r="A69" t="s">
        <v>166</v>
      </c>
      <c r="B69" t="s">
        <v>171</v>
      </c>
      <c r="E69" t="s">
        <v>16</v>
      </c>
      <c r="K69" s="3" t="str">
        <f t="shared" si="3"/>
        <v/>
      </c>
      <c r="L69" s="3" t="str">
        <f t="shared" si="2"/>
        <v/>
      </c>
    </row>
    <row r="70" spans="1:12" ht="15" customHeight="1" x14ac:dyDescent="0.25">
      <c r="A70" t="s">
        <v>168</v>
      </c>
      <c r="B70" t="s">
        <v>173</v>
      </c>
      <c r="E70" t="s">
        <v>16</v>
      </c>
      <c r="K70" s="3" t="str">
        <f>IF(I70&lt;&gt;"",HYPERLINK("https://dev.azure.com/infomedics/TIM/_workitems/edit/"&amp;I70,"Open DEV "&amp;I70),"")</f>
        <v/>
      </c>
      <c r="L70" s="3" t="str">
        <f>IF(J70&lt;&gt;"",HYPERLINK("https://dev.azure.com/infomedics/TIM/_workitems/edit/"&amp;J70,"Open INT "&amp;J70),"")</f>
        <v/>
      </c>
    </row>
    <row r="71" spans="1:12" ht="15" customHeight="1" x14ac:dyDescent="0.25">
      <c r="A71" t="s">
        <v>170</v>
      </c>
      <c r="B71" t="s">
        <v>175</v>
      </c>
      <c r="D71" t="s">
        <v>40</v>
      </c>
      <c r="E71" t="s">
        <v>26</v>
      </c>
      <c r="K71" s="3" t="str">
        <f t="shared" si="3"/>
        <v/>
      </c>
      <c r="L71" s="3" t="str">
        <f t="shared" si="2"/>
        <v/>
      </c>
    </row>
    <row r="72" spans="1:12" ht="15" customHeight="1" x14ac:dyDescent="0.25">
      <c r="A72" t="s">
        <v>172</v>
      </c>
      <c r="B72" t="s">
        <v>177</v>
      </c>
      <c r="D72" t="s">
        <v>40</v>
      </c>
      <c r="E72" t="s">
        <v>26</v>
      </c>
      <c r="K72" s="3" t="str">
        <f t="shared" si="3"/>
        <v/>
      </c>
      <c r="L72" s="3" t="str">
        <f t="shared" si="2"/>
        <v/>
      </c>
    </row>
    <row r="73" spans="1:12" ht="15" customHeight="1" x14ac:dyDescent="0.25">
      <c r="A73" t="s">
        <v>174</v>
      </c>
      <c r="B73" t="s">
        <v>179</v>
      </c>
      <c r="D73" t="s">
        <v>40</v>
      </c>
      <c r="E73" t="s">
        <v>26</v>
      </c>
      <c r="K73" s="3" t="str">
        <f t="shared" si="3"/>
        <v/>
      </c>
      <c r="L73" s="3" t="str">
        <f t="shared" si="2"/>
        <v/>
      </c>
    </row>
    <row r="74" spans="1:12" ht="15" customHeight="1" x14ac:dyDescent="0.25">
      <c r="A74" t="s">
        <v>176</v>
      </c>
      <c r="B74" t="s">
        <v>181</v>
      </c>
      <c r="D74" t="s">
        <v>40</v>
      </c>
      <c r="E74" t="s">
        <v>26</v>
      </c>
      <c r="K74" s="3" t="str">
        <f t="shared" si="3"/>
        <v/>
      </c>
      <c r="L74" s="3" t="str">
        <f t="shared" si="2"/>
        <v/>
      </c>
    </row>
    <row r="75" spans="1:12" ht="15" customHeight="1" x14ac:dyDescent="0.25">
      <c r="A75" t="s">
        <v>178</v>
      </c>
      <c r="B75" t="s">
        <v>183</v>
      </c>
      <c r="D75" t="s">
        <v>40</v>
      </c>
      <c r="E75" t="s">
        <v>26</v>
      </c>
      <c r="K75" s="3" t="str">
        <f t="shared" si="3"/>
        <v/>
      </c>
      <c r="L75" s="3" t="str">
        <f t="shared" si="2"/>
        <v/>
      </c>
    </row>
    <row r="76" spans="1:12" ht="15" customHeight="1" x14ac:dyDescent="0.25">
      <c r="A76" t="s">
        <v>180</v>
      </c>
      <c r="B76" t="s">
        <v>185</v>
      </c>
      <c r="D76" t="s">
        <v>40</v>
      </c>
      <c r="E76" t="s">
        <v>21</v>
      </c>
      <c r="K76" s="3" t="str">
        <f t="shared" si="3"/>
        <v/>
      </c>
      <c r="L76" s="3" t="str">
        <f t="shared" si="2"/>
        <v/>
      </c>
    </row>
    <row r="77" spans="1:12" ht="15" customHeight="1" x14ac:dyDescent="0.25">
      <c r="A77" t="s">
        <v>182</v>
      </c>
      <c r="B77" t="s">
        <v>187</v>
      </c>
      <c r="D77" t="s">
        <v>20</v>
      </c>
      <c r="E77" t="s">
        <v>16</v>
      </c>
      <c r="K77" s="3" t="str">
        <f t="shared" si="3"/>
        <v/>
      </c>
      <c r="L77" s="3" t="str">
        <f t="shared" si="2"/>
        <v/>
      </c>
    </row>
    <row r="78" spans="1:12" ht="15" customHeight="1" x14ac:dyDescent="0.25">
      <c r="A78" t="s">
        <v>184</v>
      </c>
      <c r="B78" t="s">
        <v>189</v>
      </c>
      <c r="D78" t="s">
        <v>20</v>
      </c>
      <c r="E78" t="s">
        <v>16</v>
      </c>
      <c r="K78" s="3" t="str">
        <f t="shared" si="3"/>
        <v/>
      </c>
      <c r="L78" s="3" t="str">
        <f t="shared" si="2"/>
        <v/>
      </c>
    </row>
    <row r="79" spans="1:12" ht="15" customHeight="1" x14ac:dyDescent="0.25">
      <c r="A79" t="s">
        <v>186</v>
      </c>
      <c r="K79" s="3" t="str">
        <f t="shared" si="3"/>
        <v/>
      </c>
      <c r="L79" s="3" t="str">
        <f t="shared" si="2"/>
        <v/>
      </c>
    </row>
    <row r="80" spans="1:12" ht="15" customHeight="1" x14ac:dyDescent="0.25">
      <c r="A80" t="s">
        <v>188</v>
      </c>
      <c r="K80" s="3" t="str">
        <f t="shared" si="3"/>
        <v/>
      </c>
      <c r="L80" s="3" t="str">
        <f t="shared" si="2"/>
        <v/>
      </c>
    </row>
    <row r="81" spans="1:12" ht="15" customHeight="1" x14ac:dyDescent="0.25">
      <c r="A81" t="s">
        <v>190</v>
      </c>
      <c r="K81" s="3" t="str">
        <f t="shared" si="3"/>
        <v/>
      </c>
      <c r="L81" s="3" t="str">
        <f t="shared" si="2"/>
        <v/>
      </c>
    </row>
    <row r="82" spans="1:12" ht="15" customHeight="1" x14ac:dyDescent="0.25">
      <c r="A82" t="s">
        <v>191</v>
      </c>
      <c r="K82" s="3" t="str">
        <f t="shared" si="3"/>
        <v/>
      </c>
      <c r="L82" s="3" t="str">
        <f t="shared" si="2"/>
        <v/>
      </c>
    </row>
    <row r="83" spans="1:12" ht="15" customHeight="1" x14ac:dyDescent="0.25">
      <c r="A83" t="s">
        <v>192</v>
      </c>
      <c r="K83" s="3" t="str">
        <f t="shared" si="3"/>
        <v/>
      </c>
      <c r="L83" s="3" t="str">
        <f t="shared" si="2"/>
        <v/>
      </c>
    </row>
    <row r="84" spans="1:12" ht="15" customHeight="1" x14ac:dyDescent="0.25">
      <c r="A84" t="s">
        <v>193</v>
      </c>
      <c r="K84" s="3" t="str">
        <f t="shared" si="3"/>
        <v/>
      </c>
      <c r="L84" s="3" t="str">
        <f t="shared" si="2"/>
        <v/>
      </c>
    </row>
  </sheetData>
  <phoneticPr fontId="3" type="noConversion"/>
  <conditionalFormatting sqref="E2:E84">
    <cfRule type="cellIs" dxfId="2" priority="2" operator="equal">
      <formula>"TODO"</formula>
    </cfRule>
  </conditionalFormatting>
  <conditionalFormatting sqref="E2:E90">
    <cfRule type="cellIs" dxfId="1" priority="3" operator="equal">
      <formula>"DONE"</formula>
    </cfRule>
  </conditionalFormatting>
  <conditionalFormatting sqref="E2:E92">
    <cfRule type="cellIs" dxfId="0" priority="1" operator="equal">
      <formula>"IN PROGRESS"</formula>
    </cfRule>
  </conditionalFormatting>
  <hyperlinks>
    <hyperlink ref="G10" r:id="rId1" xr:uid="{F9B0FA03-CCC1-42C7-BFEA-7333370A1B24}"/>
    <hyperlink ref="G11" r:id="rId2" xr:uid="{886608BF-CB9E-4902-9C62-D5992173AE05}"/>
  </hyperlinks>
  <pageMargins left="0.7" right="0.7" top="0.75" bottom="0.75" header="0.3" footer="0.3"/>
  <pageSetup paperSize="9" orientation="portrait"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479E903-899B-4DEF-BDB0-5F3FA0AF05D5}">
          <x14:formula1>
            <xm:f>Domains!$A$1:$A$17</xm:f>
          </x14:formula1>
          <xm:sqref>C2</xm:sqref>
        </x14:dataValidation>
        <x14:dataValidation type="list" allowBlank="1" showInputMessage="1" showErrorMessage="1" xr:uid="{70292F07-A540-47DF-A178-696EBB05BD9F}">
          <x14:formula1>
            <xm:f>Priorities!$A$1:$A$5</xm:f>
          </x14:formula1>
          <xm:sqref>F2:F84</xm:sqref>
        </x14:dataValidation>
        <x14:dataValidation type="list" allowBlank="1" showInputMessage="1" showErrorMessage="1" xr:uid="{383022A6-0054-4CD9-808A-92CC90FAB9F5}">
          <x14:formula1>
            <xm:f>Status_Options!$A$1:$A$9</xm:f>
          </x14:formula1>
          <xm:sqref>E2:E84</xm:sqref>
        </x14:dataValidation>
        <x14:dataValidation type="list" allowBlank="1" showInputMessage="1" showErrorMessage="1" xr:uid="{6C3D5CB5-E382-4257-A782-9A5D29A3621E}">
          <x14:formula1>
            <xm:f>Team_Members!$A$1:$A$47</xm:f>
          </x14:formula1>
          <xm:sqref>D2:D84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459a224-fe07-450f-8658-8e69d8fa223b" xsi:nil="true"/>
    <_ip_UnifiedCompliancePolicyUIAction xmlns="http://schemas.microsoft.com/sharepoint/v3" xsi:nil="true"/>
    <lcf76f155ced4ddcb4097134ff3c332f xmlns="9e398fa7-c37e-4a3e-8220-1de4882050c5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6F417D73382D4C9A16CF29364BD10D" ma:contentTypeVersion="30" ma:contentTypeDescription="Create a new document." ma:contentTypeScope="" ma:versionID="1588de1ba776585ba8d2f46bdc100c45">
  <xsd:schema xmlns:xsd="http://www.w3.org/2001/XMLSchema" xmlns:xs="http://www.w3.org/2001/XMLSchema" xmlns:p="http://schemas.microsoft.com/office/2006/metadata/properties" xmlns:ns1="http://schemas.microsoft.com/sharepoint/v3" xmlns:ns2="9e398fa7-c37e-4a3e-8220-1de4882050c5" xmlns:ns3="1459a224-fe07-450f-8658-8e69d8fa223b" targetNamespace="http://schemas.microsoft.com/office/2006/metadata/properties" ma:root="true" ma:fieldsID="41a07caa5dc27c3c2a391d73764d0a4e" ns1:_="" ns2:_="" ns3:_="">
    <xsd:import namespace="http://schemas.microsoft.com/sharepoint/v3"/>
    <xsd:import namespace="9e398fa7-c37e-4a3e-8220-1de4882050c5"/>
    <xsd:import namespace="1459a224-fe07-450f-8658-8e69d8fa22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398fa7-c37e-4a3e-8220-1de4882050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22e8fef-f47f-4e62-86c4-e10fa4338d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9a224-fe07-450f-8658-8e69d8fa223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5517820-312c-40b2-833d-40fa7979a15f}" ma:internalName="TaxCatchAll" ma:showField="CatchAllData" ma:web="1459a224-fe07-450f-8658-8e69d8fa22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4B20B2-3868-41A0-A4AD-792931B1C329}">
  <ds:schemaRefs>
    <ds:schemaRef ds:uri="http://purl.org/dc/terms/"/>
    <ds:schemaRef ds:uri="1459a224-fe07-450f-8658-8e69d8fa223b"/>
    <ds:schemaRef ds:uri="http://purl.org/dc/dcmitype/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9e398fa7-c37e-4a3e-8220-1de4882050c5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812ACC9F-DF8E-4B82-A506-88CEC76A2E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e398fa7-c37e-4a3e-8220-1de4882050c5"/>
    <ds:schemaRef ds:uri="1459a224-fe07-450f-8658-8e69d8fa22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152E0FC-F698-4691-A2B0-51503196290F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86380612-C3B1-4EC7-9454-C6BD6E3CA0A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TA_List</vt:lpstr>
      <vt:lpstr>Priorities</vt:lpstr>
      <vt:lpstr>Domains</vt:lpstr>
      <vt:lpstr>Team_Members</vt:lpstr>
      <vt:lpstr>Status_Options</vt:lpstr>
      <vt:lpstr>TA_List_Domains(DRAFT)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Marcin Pogorzelski</dc:creator>
  <cp:keywords/>
  <dc:description/>
  <cp:lastModifiedBy>Marcin Rodziewicz</cp:lastModifiedBy>
  <cp:revision/>
  <dcterms:created xsi:type="dcterms:W3CDTF">2026-01-20T14:05:46Z</dcterms:created>
  <dcterms:modified xsi:type="dcterms:W3CDTF">2026-05-07T19:44:18Z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0x010100E26F417D73382D4C9A16CF29364BD10D</vt:lpwstr>
  </property>
  <property fmtid="{D5CDD505-2E9C-101B-9397-08002B2CF9AE}" pid="3" name="MediaServiceImageTags">
    <vt:lpwstr/>
  </property>
</Properties>
</file>